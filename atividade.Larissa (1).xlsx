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0D3ABB90-76EA-4F1F-AB4D-E2E3DDD946E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lanilha1" sheetId="1" r:id="rId1"/>
    <sheet name="Dados_Originais" sheetId="2" r:id="rId2"/>
  </sheets>
  <definedNames>
    <definedName name="_xlnm._FilterDatabase" localSheetId="1" hidden="1">Dados_Originais!$1:$213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</calcChain>
</file>

<file path=xl/sharedStrings.xml><?xml version="1.0" encoding="utf-8"?>
<sst xmlns="http://schemas.openxmlformats.org/spreadsheetml/2006/main" count="878" uniqueCount="655">
  <si>
    <t>Órgão</t>
  </si>
  <si>
    <t>Cargos aprovados</t>
  </si>
  <si>
    <t>Cargos distribuídos</t>
  </si>
  <si>
    <t>Cargos ocupados</t>
  </si>
  <si>
    <t>Vagas</t>
  </si>
  <si>
    <t>MS</t>
  </si>
  <si>
    <t>MEC</t>
  </si>
  <si>
    <t>MF</t>
  </si>
  <si>
    <t>INSS</t>
  </si>
  <si>
    <t>IBGE</t>
  </si>
  <si>
    <t>CM</t>
  </si>
  <si>
    <t>MGI</t>
  </si>
  <si>
    <t>C.AER</t>
  </si>
  <si>
    <t>C.EX</t>
  </si>
  <si>
    <t>MAPA</t>
  </si>
  <si>
    <t>1. Qual é o total de vagas dos 10 órgãos analisados?</t>
  </si>
  <si>
    <t>150.032 vagas</t>
  </si>
  <si>
    <t>2. Qual é o total de cargos ocupados nesses 10 órgãos?</t>
  </si>
  <si>
    <t>96.831 cargos</t>
  </si>
  <si>
    <t>3. Qual órgão possui o maior número de vagas?</t>
  </si>
  <si>
    <t>MS — 33.726 vagas</t>
  </si>
  <si>
    <t>4. Qual é a participação do órgão com mais vagas no total de vagas da seleção?</t>
  </si>
  <si>
    <t>22,48%</t>
  </si>
  <si>
    <t>5. Qual é a diferença entre o maior e o menor número de vagas da seleção?</t>
  </si>
  <si>
    <t>29.082 vagas</t>
  </si>
  <si>
    <t>1)</t>
  </si>
  <si>
    <t>ANO_MES</t>
  </si>
  <si>
    <t>ORGAO</t>
  </si>
  <si>
    <t>NOME_ORGAO</t>
  </si>
  <si>
    <t>SIGLA_ORGAO</t>
  </si>
  <si>
    <t>APROVADA</t>
  </si>
  <si>
    <t>DISTRIBUIDA</t>
  </si>
  <si>
    <t>OCUPADA</t>
  </si>
  <si>
    <t>VAGA</t>
  </si>
  <si>
    <t>202601</t>
  </si>
  <si>
    <t>13000</t>
  </si>
  <si>
    <t>MINIST.DA AGRICULTURA,PECUARIA E ABAST.</t>
  </si>
  <si>
    <t>13100</t>
  </si>
  <si>
    <t>MIN DO DESENV AGR E AGRIC FAMILIAR</t>
  </si>
  <si>
    <t>MDA</t>
  </si>
  <si>
    <t>13200</t>
  </si>
  <si>
    <t>MINISTERIO DA PESCA E AQUICULTURA</t>
  </si>
  <si>
    <t>MPA</t>
  </si>
  <si>
    <t>13300</t>
  </si>
  <si>
    <t>MINISTERIO DA AGRICULTURA E PECUARIA</t>
  </si>
  <si>
    <t>15000</t>
  </si>
  <si>
    <t>MINISTERIO DA EDUCACAO</t>
  </si>
  <si>
    <t>16000</t>
  </si>
  <si>
    <t>COMANDO DO EXERCITO</t>
  </si>
  <si>
    <t>16100</t>
  </si>
  <si>
    <t>FUNDACAO OSORIO</t>
  </si>
  <si>
    <t>F.OSORIO</t>
  </si>
  <si>
    <t>17000</t>
  </si>
  <si>
    <t>MINISTERIO DA ECONOMIA</t>
  </si>
  <si>
    <t>ME</t>
  </si>
  <si>
    <t>17300</t>
  </si>
  <si>
    <t>MINISTERIO DO PLANEJAMENTO E ORCAMENTO</t>
  </si>
  <si>
    <t>MPO</t>
  </si>
  <si>
    <t>17400</t>
  </si>
  <si>
    <t>MIN DESENVOLV IND COMERCIO E SERVICOS</t>
  </si>
  <si>
    <t>MDIC</t>
  </si>
  <si>
    <t>17500</t>
  </si>
  <si>
    <t>MIN GESTAO E INOV EM SERV PUBLICOS</t>
  </si>
  <si>
    <t>17600</t>
  </si>
  <si>
    <t>MINISTERIO DA FAZENDA</t>
  </si>
  <si>
    <t>17700</t>
  </si>
  <si>
    <t>MIN EMPREEND MICROEMP EMP PEQUENO PORTE</t>
  </si>
  <si>
    <t>MEMP</t>
  </si>
  <si>
    <t>17800</t>
  </si>
  <si>
    <t>INST NAC DE TECN DA INFORMACAO</t>
  </si>
  <si>
    <t>ITI</t>
  </si>
  <si>
    <t>20000</t>
  </si>
  <si>
    <t>MINIST. DA JUSTICA E SEGURANCA PUBLICA</t>
  </si>
  <si>
    <t>MJ</t>
  </si>
  <si>
    <t>20101</t>
  </si>
  <si>
    <t>PRESIDENCIA DA REPUBLICA</t>
  </si>
  <si>
    <t>PR</t>
  </si>
  <si>
    <t>20114</t>
  </si>
  <si>
    <t>AGENCIA BRASILEIRA DE INTELIGENCIA</t>
  </si>
  <si>
    <t>ABIN</t>
  </si>
  <si>
    <t>20115</t>
  </si>
  <si>
    <t>DEPARTAMENTO DE POLICIA FEDERAL</t>
  </si>
  <si>
    <t>DPF</t>
  </si>
  <si>
    <t>20224</t>
  </si>
  <si>
    <t>AGENCIA NACIONAL DO CINEMA</t>
  </si>
  <si>
    <t>ANCINE</t>
  </si>
  <si>
    <t>21000</t>
  </si>
  <si>
    <t>COMANDO DA AERONAUTICA</t>
  </si>
  <si>
    <t>21201</t>
  </si>
  <si>
    <t>CAIXA DE FINANCIAMENTO IMOB.AERONAUTICA</t>
  </si>
  <si>
    <t>CFIA</t>
  </si>
  <si>
    <t>21300</t>
  </si>
  <si>
    <t>AGENCIA ESPACIAL BRASILEIRA</t>
  </si>
  <si>
    <t>AEB</t>
  </si>
  <si>
    <t>24203</t>
  </si>
  <si>
    <t>FUNDACAO NACIONAL DE ARTES</t>
  </si>
  <si>
    <t>FUNARTE</t>
  </si>
  <si>
    <t>24204</t>
  </si>
  <si>
    <t>INSTITUTO DO PATR.HIST.E ART. NACIONAL</t>
  </si>
  <si>
    <t>IPHAN</t>
  </si>
  <si>
    <t>24205</t>
  </si>
  <si>
    <t>FUNDACAO BIBLIOTECA NACIONAL</t>
  </si>
  <si>
    <t>FBN</t>
  </si>
  <si>
    <t>25000</t>
  </si>
  <si>
    <t>MINISTERIO DA SAUDE</t>
  </si>
  <si>
    <t>26106</t>
  </si>
  <si>
    <t>FUNDO NACIONAL DE DESENVOLV. DA EDUCACAO</t>
  </si>
  <si>
    <t>FNDE</t>
  </si>
  <si>
    <t>26107</t>
  </si>
  <si>
    <t>INST.NACIONAL DE EST.E PESQ.EDUCACIONAIS</t>
  </si>
  <si>
    <t>INEP</t>
  </si>
  <si>
    <t>26201</t>
  </si>
  <si>
    <t>COLEGIO PEDRO II</t>
  </si>
  <si>
    <t>C.PEDROII</t>
  </si>
  <si>
    <t>26230</t>
  </si>
  <si>
    <t>FUND.UNIV.FED.DO VALE DO SAO FRANCISCO</t>
  </si>
  <si>
    <t>UNIVASF</t>
  </si>
  <si>
    <t>26231</t>
  </si>
  <si>
    <t>UNIVERSIDADE FEDERAL DE ALAGOAS</t>
  </si>
  <si>
    <t>UFAL</t>
  </si>
  <si>
    <t>26232</t>
  </si>
  <si>
    <t>UNIVERSIDADE FEDERAL DA BAHIA</t>
  </si>
  <si>
    <t>UFBA</t>
  </si>
  <si>
    <t>26233</t>
  </si>
  <si>
    <t>UNIVERSIDADE FEDERAL DO CEARA</t>
  </si>
  <si>
    <t>UFCE</t>
  </si>
  <si>
    <t>26234</t>
  </si>
  <si>
    <t>UNIVERSIDADE FEDERAL DO ESPIRITO SANTO</t>
  </si>
  <si>
    <t>UFES</t>
  </si>
  <si>
    <t>26235</t>
  </si>
  <si>
    <t>UNIVERSIDADE FEDERAL DE GOIAS</t>
  </si>
  <si>
    <t>UFGO</t>
  </si>
  <si>
    <t>26236</t>
  </si>
  <si>
    <t>UNIVERSIDADE FEDERAL FLUMINENSE</t>
  </si>
  <si>
    <t>UFF</t>
  </si>
  <si>
    <t>26237</t>
  </si>
  <si>
    <t>UNIVERSIDADE FEDERAL DE JUIZ DE FORA</t>
  </si>
  <si>
    <t>UFJF</t>
  </si>
  <si>
    <t>26238</t>
  </si>
  <si>
    <t>UNIVERSIDADE FEDERAL DE MINAS GERAIS</t>
  </si>
  <si>
    <t>UFMG</t>
  </si>
  <si>
    <t>26239</t>
  </si>
  <si>
    <t>UNIVERSIDADE FEDERAL DO PARA</t>
  </si>
  <si>
    <t>UFPA</t>
  </si>
  <si>
    <t>26240</t>
  </si>
  <si>
    <t>UNIVERSIDADE FEDERAL DA PARAIBA</t>
  </si>
  <si>
    <t>UFPB</t>
  </si>
  <si>
    <t>26241</t>
  </si>
  <si>
    <t>UNIVERSIDADE FEDERAL DO PARANA</t>
  </si>
  <si>
    <t>UFPR</t>
  </si>
  <si>
    <t>26242</t>
  </si>
  <si>
    <t>UNIVERSIDADE FEDERAL DE PERNAMBUCO</t>
  </si>
  <si>
    <t>UFPE</t>
  </si>
  <si>
    <t>26243</t>
  </si>
  <si>
    <t>UNIVERSIDADE FED. DO RIO GRANDE DO NORTE</t>
  </si>
  <si>
    <t>UFRN</t>
  </si>
  <si>
    <t>26244</t>
  </si>
  <si>
    <t>UNIVERSIDADE FED. DO RIO GRANDE DO SUL</t>
  </si>
  <si>
    <t>UFRGS/RS</t>
  </si>
  <si>
    <t>26245</t>
  </si>
  <si>
    <t>UNIVERSIDADE FEDERAL DO RIO DE JANEIRO</t>
  </si>
  <si>
    <t>UFRJ</t>
  </si>
  <si>
    <t>26246</t>
  </si>
  <si>
    <t>UNIVERSIDADE FEDERAL DE SANTA CATARINA</t>
  </si>
  <si>
    <t>UFSC</t>
  </si>
  <si>
    <t>26247</t>
  </si>
  <si>
    <t>UNIVERSIDADE FEDERAL DE SANTA MARIA</t>
  </si>
  <si>
    <t>UFSM/RS</t>
  </si>
  <si>
    <t>26248</t>
  </si>
  <si>
    <t>UNIVERSIDADE FEDERAL RURAL DE PERNAMBUCO</t>
  </si>
  <si>
    <t>UFRPE</t>
  </si>
  <si>
    <t>26249</t>
  </si>
  <si>
    <t>UNIV. FEDERAL RURAL DO RIO DE JANEIRO</t>
  </si>
  <si>
    <t>UFRRJ</t>
  </si>
  <si>
    <t>26250</t>
  </si>
  <si>
    <t>UNIVERSIDADE FEDERAL DE RORAIMA</t>
  </si>
  <si>
    <t>UFRR</t>
  </si>
  <si>
    <t>26251</t>
  </si>
  <si>
    <t>FUNDACAO UNIVERSIDADE FED. DO TOCANTINS</t>
  </si>
  <si>
    <t>FUFT</t>
  </si>
  <si>
    <t>26252</t>
  </si>
  <si>
    <t>UNIVERSIDADE FEDERAL DE CAMPINA GRANDE</t>
  </si>
  <si>
    <t>UFCG</t>
  </si>
  <si>
    <t>26253</t>
  </si>
  <si>
    <t>UNIVERSIDADE FEDERAL RURAL DA AMAZONIA</t>
  </si>
  <si>
    <t>UFRA</t>
  </si>
  <si>
    <t>26254</t>
  </si>
  <si>
    <t>UNIVERSIDADE FED.DO TRIANGULO MINEIRO</t>
  </si>
  <si>
    <t>UFTM</t>
  </si>
  <si>
    <t>26255</t>
  </si>
  <si>
    <t>UNI.FED.VALES DO JEQUITINHONHA E MUCURI</t>
  </si>
  <si>
    <t>UFVJM</t>
  </si>
  <si>
    <t>26256</t>
  </si>
  <si>
    <t>CENTRO FED.EDUC.TECNOL.CELSO S. FONSECA</t>
  </si>
  <si>
    <t>CEFET/RJ</t>
  </si>
  <si>
    <t>26257</t>
  </si>
  <si>
    <t>CENTRO FED.DE EDUC.TECNOL.MINAS GERAIS</t>
  </si>
  <si>
    <t>CEFET/MG</t>
  </si>
  <si>
    <t>26258</t>
  </si>
  <si>
    <t>UNIVERS. TECNOLOGICA FEDERAL DO PARANA</t>
  </si>
  <si>
    <t>UTFPR</t>
  </si>
  <si>
    <t>26260</t>
  </si>
  <si>
    <t>UNIVERSIDADE FEDERAL DE ALFENAS</t>
  </si>
  <si>
    <t>UNIFAL-MG</t>
  </si>
  <si>
    <t>26261</t>
  </si>
  <si>
    <t>UNIVERSIDADE FEDERAL DE ITAJUBA</t>
  </si>
  <si>
    <t>UNIFEI</t>
  </si>
  <si>
    <t>26262</t>
  </si>
  <si>
    <t>UNIVERSIDADE FEDERAL DE SAO PAULO</t>
  </si>
  <si>
    <t>UNIFESP</t>
  </si>
  <si>
    <t>26263</t>
  </si>
  <si>
    <t>UNIVERSIDADE FEDERAL DE LAVRAS</t>
  </si>
  <si>
    <t>UFLA</t>
  </si>
  <si>
    <t>26264</t>
  </si>
  <si>
    <t>UNIVERSIDADE FED. RURAL DO SEMI-ARIDO</t>
  </si>
  <si>
    <t>UFERSA-RN</t>
  </si>
  <si>
    <t>26266</t>
  </si>
  <si>
    <t>FUNDACAO UNIVERSIDADE FEDERAL DO PAMPA</t>
  </si>
  <si>
    <t>UNIPAMPA</t>
  </si>
  <si>
    <t>26267</t>
  </si>
  <si>
    <t>UNIV.FED. DA INTEGRACAO LATINO-AMERICANA</t>
  </si>
  <si>
    <t>UNILA</t>
  </si>
  <si>
    <t>26268</t>
  </si>
  <si>
    <t>FUND. UNIVERSIDADE FEDERAL DE RONDONIA</t>
  </si>
  <si>
    <t>UNIR</t>
  </si>
  <si>
    <t>26269</t>
  </si>
  <si>
    <t>UNIVERSIDADE DO RIO DE JANEIRO</t>
  </si>
  <si>
    <t>UNIRIO</t>
  </si>
  <si>
    <t>26270</t>
  </si>
  <si>
    <t>FUNDACAO UNIVERSIDADE DO AMAZONAS</t>
  </si>
  <si>
    <t>FUAM</t>
  </si>
  <si>
    <t>26271</t>
  </si>
  <si>
    <t>FUNDACAO UNIVERSIDADE DE BRASILIA</t>
  </si>
  <si>
    <t>UNB</t>
  </si>
  <si>
    <t>26272</t>
  </si>
  <si>
    <t>FUNDACAO UNIVERSIDADE DO MARANHAO</t>
  </si>
  <si>
    <t>UFMA</t>
  </si>
  <si>
    <t>26273</t>
  </si>
  <si>
    <t>UNIVERSIDADE FEDERAL DO RIO GRANDE</t>
  </si>
  <si>
    <t>FURG</t>
  </si>
  <si>
    <t>26274</t>
  </si>
  <si>
    <t>FUNDACAO UNIV. FEDERAL DE UBERLANDIA</t>
  </si>
  <si>
    <t>UFU</t>
  </si>
  <si>
    <t>26275</t>
  </si>
  <si>
    <t>UNIVERSIDADE FEDERAL DO ACRE</t>
  </si>
  <si>
    <t>UFAC</t>
  </si>
  <si>
    <t>26276</t>
  </si>
  <si>
    <t>UNIVERSIDADE FEDERAL DE MATO GROSSO</t>
  </si>
  <si>
    <t>UFMT</t>
  </si>
  <si>
    <t>26277</t>
  </si>
  <si>
    <t>FUNDACAO UNIV. FEDERAL DE OURO PRETO</t>
  </si>
  <si>
    <t>FUFOP</t>
  </si>
  <si>
    <t>26278</t>
  </si>
  <si>
    <t>FUNDACAO UNIVERSIDADE FEDERAL DE PELOTAS</t>
  </si>
  <si>
    <t>FUFPEL</t>
  </si>
  <si>
    <t>26279</t>
  </si>
  <si>
    <t>UNIVERSIDADE FEDERAL DO PIAUI</t>
  </si>
  <si>
    <t>UFPI</t>
  </si>
  <si>
    <t>26280</t>
  </si>
  <si>
    <t>UNIVERSIDADE FEDERAL DE SAO CARLOS</t>
  </si>
  <si>
    <t>FUFSCAR</t>
  </si>
  <si>
    <t>26281</t>
  </si>
  <si>
    <t>FUNDACAO UNIVERSIDADE FEDERAL DE SERGIPE</t>
  </si>
  <si>
    <t>FUFS</t>
  </si>
  <si>
    <t>26282</t>
  </si>
  <si>
    <t>UNIVERSIDADE FEDERAL DE VICOSA</t>
  </si>
  <si>
    <t>UFV</t>
  </si>
  <si>
    <t>26283</t>
  </si>
  <si>
    <t>UNIV. FEDERAL DE MATO GROSSO DO SUL</t>
  </si>
  <si>
    <t>UFMS</t>
  </si>
  <si>
    <t>26284</t>
  </si>
  <si>
    <t>FUND.UNIV.FED.CIENC.SAUDE D PORTO ALEGRE</t>
  </si>
  <si>
    <t>UFCSPA</t>
  </si>
  <si>
    <t>26285</t>
  </si>
  <si>
    <t>FUND. UNIVERSIDADE DE SAO JOAO DEL REI</t>
  </si>
  <si>
    <t>FUNREI</t>
  </si>
  <si>
    <t>26286</t>
  </si>
  <si>
    <t>FUNDACAO UNVERSIDADE FEDERAL DO AMAPA</t>
  </si>
  <si>
    <t>UNIFAP</t>
  </si>
  <si>
    <t>26292</t>
  </si>
  <si>
    <t>FUNDACAO JOAQUIM NABUCO</t>
  </si>
  <si>
    <t>FJN</t>
  </si>
  <si>
    <t>26298</t>
  </si>
  <si>
    <t>FUND COORD APERF PESSOAL NIVEL SUPERIOR</t>
  </si>
  <si>
    <t>CAPES</t>
  </si>
  <si>
    <t>26350</t>
  </si>
  <si>
    <t>FUND. UNIV FEDERAL DA GRANDE DOURADOS</t>
  </si>
  <si>
    <t>UFGD</t>
  </si>
  <si>
    <t>26351</t>
  </si>
  <si>
    <t>UNIV. FEDERAL DO RECONCAVO DA BAHIA</t>
  </si>
  <si>
    <t>UFRB</t>
  </si>
  <si>
    <t>26352</t>
  </si>
  <si>
    <t>FUNDACAO UNIVERSIDADE FEDERAL DO ABC</t>
  </si>
  <si>
    <t>UFABC</t>
  </si>
  <si>
    <t>26401</t>
  </si>
  <si>
    <t>INSTITUTO FEDERAL DO ACRE</t>
  </si>
  <si>
    <t>IFAC</t>
  </si>
  <si>
    <t>26402</t>
  </si>
  <si>
    <t>INSTITUTO FEDERAL DE ALAGOAS</t>
  </si>
  <si>
    <t>IFAL</t>
  </si>
  <si>
    <t>26403</t>
  </si>
  <si>
    <t>INSTITUTO FEDERAL DO AMAZONAS</t>
  </si>
  <si>
    <t>IFAM</t>
  </si>
  <si>
    <t>26404</t>
  </si>
  <si>
    <t>INSTITUTO FEDERAL BAIANO</t>
  </si>
  <si>
    <t>IFBAIANO</t>
  </si>
  <si>
    <t>26405</t>
  </si>
  <si>
    <t>INSTITUTO FEDERAL DO CEARA</t>
  </si>
  <si>
    <t>IFCE</t>
  </si>
  <si>
    <t>26406</t>
  </si>
  <si>
    <t>INSTITUTO FEDERAL DO ESPIRITO SANTO</t>
  </si>
  <si>
    <t>IFES</t>
  </si>
  <si>
    <t>26407</t>
  </si>
  <si>
    <t>INSTITUTO FEDERAL GOIANO</t>
  </si>
  <si>
    <t>IFGOIANO</t>
  </si>
  <si>
    <t>26408</t>
  </si>
  <si>
    <t>INSTITUTO FEDERAL DO MARANHAO</t>
  </si>
  <si>
    <t>IFMA</t>
  </si>
  <si>
    <t>26409</t>
  </si>
  <si>
    <t>INSTITUTO FEDERAL DE MINAS GERAIS</t>
  </si>
  <si>
    <t>IFMG</t>
  </si>
  <si>
    <t>26410</t>
  </si>
  <si>
    <t>INSTITUTO FED. DO NORTE DE MINAS GERAIS</t>
  </si>
  <si>
    <t>IFNORTEMG</t>
  </si>
  <si>
    <t>26411</t>
  </si>
  <si>
    <t>INSTITUTO FED.DO SUDESTE DE MINAS GERAIS</t>
  </si>
  <si>
    <t>IFSUDMG</t>
  </si>
  <si>
    <t>26412</t>
  </si>
  <si>
    <t>INSTITUTO FEDERAL DO SUL DE MINAS GERAIS</t>
  </si>
  <si>
    <t>IFSULMG</t>
  </si>
  <si>
    <t>26413</t>
  </si>
  <si>
    <t>INSTITUTO FEDERAL DO TRIANGULO MINEIRO</t>
  </si>
  <si>
    <t>IFTRIANMG</t>
  </si>
  <si>
    <t>26414</t>
  </si>
  <si>
    <t>INSTITUTO FEDERAL DE MATO GROSSO</t>
  </si>
  <si>
    <t>IFMT</t>
  </si>
  <si>
    <t>26415</t>
  </si>
  <si>
    <t>INSTITUTO FEDERAL DE MATO GROSSO DO SUL</t>
  </si>
  <si>
    <t>IFMS</t>
  </si>
  <si>
    <t>26416</t>
  </si>
  <si>
    <t>INSTITUTO FEDERAL DO PARA</t>
  </si>
  <si>
    <t>IFPA</t>
  </si>
  <si>
    <t>26417</t>
  </si>
  <si>
    <t>INSTITUTO FEDERAL DA PARAIBA</t>
  </si>
  <si>
    <t>IFPB</t>
  </si>
  <si>
    <t>26418</t>
  </si>
  <si>
    <t>INSTITUTO FEDERAL DE PERNAMBUCO</t>
  </si>
  <si>
    <t>IFPE</t>
  </si>
  <si>
    <t>26419</t>
  </si>
  <si>
    <t>INSTITUTO FEDERAL DO RIO GRANDE DO SUL</t>
  </si>
  <si>
    <t>IFRS</t>
  </si>
  <si>
    <t>26420</t>
  </si>
  <si>
    <t>INSTITUTO FEDERAL FARROUPILHA</t>
  </si>
  <si>
    <t>IFFARROUP</t>
  </si>
  <si>
    <t>26421</t>
  </si>
  <si>
    <t>INSTITUTO FEDERAL DE RONDONIA</t>
  </si>
  <si>
    <t>IFRO</t>
  </si>
  <si>
    <t>26422</t>
  </si>
  <si>
    <t>INSTITUTO FEDERAL CATARINENSE</t>
  </si>
  <si>
    <t>IFCATARINA</t>
  </si>
  <si>
    <t>26423</t>
  </si>
  <si>
    <t>INSTITUTO FEDERAL DE SERGIPE</t>
  </si>
  <si>
    <t>IFSE</t>
  </si>
  <si>
    <t>26424</t>
  </si>
  <si>
    <t>INSTITUTO FEDERAL DO TOCANTINS</t>
  </si>
  <si>
    <t>IFTO</t>
  </si>
  <si>
    <t>26426</t>
  </si>
  <si>
    <t>INSTITUTO FEDERAL DO AMAPA</t>
  </si>
  <si>
    <t>IFAP</t>
  </si>
  <si>
    <t>26427</t>
  </si>
  <si>
    <t>INSTITUTO FEDERAL DA BAHIA</t>
  </si>
  <si>
    <t>IFBA</t>
  </si>
  <si>
    <t>26428</t>
  </si>
  <si>
    <t>INSTITUTO FEDERAL DE BRASILIA</t>
  </si>
  <si>
    <t>IFBRASILIA</t>
  </si>
  <si>
    <t>26429</t>
  </si>
  <si>
    <t>INSTITUTO FEDERAL DE GOIAS</t>
  </si>
  <si>
    <t>IFG</t>
  </si>
  <si>
    <t>26430</t>
  </si>
  <si>
    <t>INSTITUTO FEDERAL DO SERTAO PERNAMBUCANO</t>
  </si>
  <si>
    <t>IFSERTPE</t>
  </si>
  <si>
    <t>26431</t>
  </si>
  <si>
    <t>INSTITUTO FEDERAL DO PIAUI</t>
  </si>
  <si>
    <t>IFPI</t>
  </si>
  <si>
    <t>26432</t>
  </si>
  <si>
    <t>INSTITUTO FEDERAL DO PARANA</t>
  </si>
  <si>
    <t>IFPR</t>
  </si>
  <si>
    <t>26433</t>
  </si>
  <si>
    <t>INSTITUTO FEDERAL DO RIO DE JANEIRO</t>
  </si>
  <si>
    <t>IFRJ</t>
  </si>
  <si>
    <t>26434</t>
  </si>
  <si>
    <t>INSTITUTO FEDERAL FLUMINENSE</t>
  </si>
  <si>
    <t>IFFLU</t>
  </si>
  <si>
    <t>26435</t>
  </si>
  <si>
    <t>INSTITUTO FEDERAL DO RIO GRANDE DO NORTE</t>
  </si>
  <si>
    <t>IFRN</t>
  </si>
  <si>
    <t>26436</t>
  </si>
  <si>
    <t>INSTITUTO FEDERAL SUL RIO-GRANDENSE</t>
  </si>
  <si>
    <t>IFSRIOGRAN</t>
  </si>
  <si>
    <t>26437</t>
  </si>
  <si>
    <t>INSTITUTO FEDERAL DE RORAIMA</t>
  </si>
  <si>
    <t>IFRR</t>
  </si>
  <si>
    <t>26438</t>
  </si>
  <si>
    <t>INSTITUTO FEDERAL DE SANTA CATARINA</t>
  </si>
  <si>
    <t>IFSC</t>
  </si>
  <si>
    <t>26439</t>
  </si>
  <si>
    <t>INSTITUTO FEDERAL DE SAO PAULO</t>
  </si>
  <si>
    <t>IFSP</t>
  </si>
  <si>
    <t>26440</t>
  </si>
  <si>
    <t>UNIVERSIDADE FEDERAL DA FRONTEIRA SUL</t>
  </si>
  <si>
    <t>UFFS</t>
  </si>
  <si>
    <t>26441</t>
  </si>
  <si>
    <t>UNIVERSIDADE FEDERAL DO OESTE DO PARA</t>
  </si>
  <si>
    <t>UFOPA</t>
  </si>
  <si>
    <t>26442</t>
  </si>
  <si>
    <t>UN. INT.INTERN. LUSOFONIA AFROBRASILEIRA</t>
  </si>
  <si>
    <t>UNILAB</t>
  </si>
  <si>
    <t>26447</t>
  </si>
  <si>
    <t>UNIVERSIDADE FEDERAL DO OESTE DA BAHIA</t>
  </si>
  <si>
    <t>UFOB</t>
  </si>
  <si>
    <t>26448</t>
  </si>
  <si>
    <t>UNIVERSIDADE FED. SUL SUDESTE DO PARA</t>
  </si>
  <si>
    <t>UNIFESSPA</t>
  </si>
  <si>
    <t>26449</t>
  </si>
  <si>
    <t>UNIVERSIDADE FEDERAL DO CARIRI</t>
  </si>
  <si>
    <t>UFCA</t>
  </si>
  <si>
    <t>26450</t>
  </si>
  <si>
    <t>UNIVERSIDADE FEDERAL DO SUL DA BAHIA</t>
  </si>
  <si>
    <t>UFESBA</t>
  </si>
  <si>
    <t>26452</t>
  </si>
  <si>
    <t>UNIVERSIDADE FEDERAL DE CATALAO</t>
  </si>
  <si>
    <t>UFCAT</t>
  </si>
  <si>
    <t>26453</t>
  </si>
  <si>
    <t>UNIVERSIDADE FEDERAL DE JATAI</t>
  </si>
  <si>
    <t>UFJ</t>
  </si>
  <si>
    <t>26454</t>
  </si>
  <si>
    <t>UNIVERSIDADE FEDERAL DE RONDONOPOLIS</t>
  </si>
  <si>
    <t>UFR</t>
  </si>
  <si>
    <t>26455</t>
  </si>
  <si>
    <t>UNIV. FEDERAL DO DELTA DO PARNAIBA</t>
  </si>
  <si>
    <t>UFDPAR</t>
  </si>
  <si>
    <t>26456</t>
  </si>
  <si>
    <t>UNIVER. FEDERAL DO AGRESTE DE PERNAMBUCO</t>
  </si>
  <si>
    <t>UFAPE</t>
  </si>
  <si>
    <t>26457</t>
  </si>
  <si>
    <t>UNIVERSIDADE FEDERAL NORTE DO TOCANTINS</t>
  </si>
  <si>
    <t>UFNT</t>
  </si>
  <si>
    <t>30202</t>
  </si>
  <si>
    <t>FUNDACAO NACIONAL DOS POVOS INDIGENAS</t>
  </si>
  <si>
    <t>FUNAI</t>
  </si>
  <si>
    <t>30203</t>
  </si>
  <si>
    <t>INST.NAC.METROLOGIA,NORM.E QUAL.INDL.</t>
  </si>
  <si>
    <t>INMETRO</t>
  </si>
  <si>
    <t>30204</t>
  </si>
  <si>
    <t>INSTITUTO NAC. DA PROPRIEDADE INDUSTRIAL</t>
  </si>
  <si>
    <t>INPI</t>
  </si>
  <si>
    <t>30802</t>
  </si>
  <si>
    <t>DEPTO. DE POLICIA RODOVIARIA FEDERAL</t>
  </si>
  <si>
    <t>DPRF</t>
  </si>
  <si>
    <t>32000</t>
  </si>
  <si>
    <t>MINISTERIO DE MINAS E ENERGIA</t>
  </si>
  <si>
    <t>MME</t>
  </si>
  <si>
    <t>32200</t>
  </si>
  <si>
    <t>AGENCIA NACIONAL DE ENERGIA ELETRICA</t>
  </si>
  <si>
    <t>ANEEL</t>
  </si>
  <si>
    <t>32300</t>
  </si>
  <si>
    <t>AGENCIA NAC PETROLEO GAS NAT BIOCOMBUSTI</t>
  </si>
  <si>
    <t>ANP</t>
  </si>
  <si>
    <t>32396</t>
  </si>
  <si>
    <t>AGENCIA NACIONAL DE MINERACAO</t>
  </si>
  <si>
    <t>ANM</t>
  </si>
  <si>
    <t>33000</t>
  </si>
  <si>
    <t>MINISTERIO DO TRABALHO E PREVIDENCIA</t>
  </si>
  <si>
    <t>MTP</t>
  </si>
  <si>
    <t>33100</t>
  </si>
  <si>
    <t>MINISTERIO DA PREVIDENCIA SOCIAL</t>
  </si>
  <si>
    <t>MPS</t>
  </si>
  <si>
    <t>33200</t>
  </si>
  <si>
    <t>MINISTERIO DO TRABALHO E EMPREGO</t>
  </si>
  <si>
    <t>MTE</t>
  </si>
  <si>
    <t>33206</t>
  </si>
  <si>
    <t>SUPERINT.NAC.DE PREVIDENCIA COMPLEMENTAR</t>
  </si>
  <si>
    <t>PREVIC</t>
  </si>
  <si>
    <t>35000</t>
  </si>
  <si>
    <t>MINISTERIO DAS RELACOES EXTERIORES</t>
  </si>
  <si>
    <t>MRE</t>
  </si>
  <si>
    <t>35201</t>
  </si>
  <si>
    <t>FUNDACAO ALEXANDRE DE GUSMAO</t>
  </si>
  <si>
    <t>FAG</t>
  </si>
  <si>
    <t>36201</t>
  </si>
  <si>
    <t>FUNDACAO OSWALDO CRUZ</t>
  </si>
  <si>
    <t>FIOCRUZ</t>
  </si>
  <si>
    <t>36205</t>
  </si>
  <si>
    <t>FUNDACAO NACIONAL DE SAUDE</t>
  </si>
  <si>
    <t>FUNASA</t>
  </si>
  <si>
    <t>36207</t>
  </si>
  <si>
    <t>AGENCIA NACIONAL DE VIGILANCIA SANITARIA</t>
  </si>
  <si>
    <t>ANVS</t>
  </si>
  <si>
    <t>36208</t>
  </si>
  <si>
    <t>AGENCIA NACIONAL DE SAUDE SUPLEMENTAR</t>
  </si>
  <si>
    <t>ANS</t>
  </si>
  <si>
    <t>37000</t>
  </si>
  <si>
    <t>DEFENSORIA PUBLICA DA UNIAO</t>
  </si>
  <si>
    <t>DPU</t>
  </si>
  <si>
    <t>38000</t>
  </si>
  <si>
    <t>CONSELHO ADMINIST.DE DEFESA ECONOMICA</t>
  </si>
  <si>
    <t>CADE</t>
  </si>
  <si>
    <t>39250</t>
  </si>
  <si>
    <t>AGENCIA NAC. DE TRANSPORTES TERRESTRES</t>
  </si>
  <si>
    <t>ANTT</t>
  </si>
  <si>
    <t>39251</t>
  </si>
  <si>
    <t>AGENCIA NAC. DE TRANSPORTES AQUAVIARIOS</t>
  </si>
  <si>
    <t>ANTAQ</t>
  </si>
  <si>
    <t>39252</t>
  </si>
  <si>
    <t>DEPARTAMENTO NAC.DE INFRAEST. DE TRANSP.</t>
  </si>
  <si>
    <t>DNIT</t>
  </si>
  <si>
    <t>40100</t>
  </si>
  <si>
    <t>MIN DA INTEG E DO DESENV REGIONAL</t>
  </si>
  <si>
    <t>MIDR</t>
  </si>
  <si>
    <t>40106</t>
  </si>
  <si>
    <t>ADVOCACIA-GERAL DA UNIAO</t>
  </si>
  <si>
    <t>AGU</t>
  </si>
  <si>
    <t>40108</t>
  </si>
  <si>
    <t>MINISTERIO CIENCIA TECNOLOGIA INOVA</t>
  </si>
  <si>
    <t>MCTI</t>
  </si>
  <si>
    <t>40115</t>
  </si>
  <si>
    <t>MINISTERIO DA DEFESA</t>
  </si>
  <si>
    <t>MD</t>
  </si>
  <si>
    <t>40116</t>
  </si>
  <si>
    <t>40200</t>
  </si>
  <si>
    <t>MINISTERIO DAS CIDADES</t>
  </si>
  <si>
    <t>MCID</t>
  </si>
  <si>
    <t>40202</t>
  </si>
  <si>
    <t>FUNDACAO ESCOLA NACIONAL DE ADM. PUBLICA</t>
  </si>
  <si>
    <t>ENAP</t>
  </si>
  <si>
    <t>40211</t>
  </si>
  <si>
    <t>MINISTERIO DO MEIO AMBIENTE</t>
  </si>
  <si>
    <t>MMA</t>
  </si>
  <si>
    <t>40301</t>
  </si>
  <si>
    <t>COMISSAO NACIONAL DE ENERGIA NUCLEAR</t>
  </si>
  <si>
    <t>CNEN</t>
  </si>
  <si>
    <t>40403</t>
  </si>
  <si>
    <t>FUNDACAO CASA DE RUI BARBOSA</t>
  </si>
  <si>
    <t>FCRB</t>
  </si>
  <si>
    <t>40408</t>
  </si>
  <si>
    <t>FUNDACAO CULTURAL PALMARES</t>
  </si>
  <si>
    <t>FCP</t>
  </si>
  <si>
    <t>40501</t>
  </si>
  <si>
    <t>CONSELHO NAC.DE DESEN.CIEN.E TECNOLOGICO</t>
  </si>
  <si>
    <t>CNPQ</t>
  </si>
  <si>
    <t>40603</t>
  </si>
  <si>
    <t>SUPERINTENDENCIA ZONA FRANCA DE MANAUS</t>
  </si>
  <si>
    <t>SUFRAMA</t>
  </si>
  <si>
    <t>40604</t>
  </si>
  <si>
    <t>INSTITUTO BRASILEIRO DE TURISMO</t>
  </si>
  <si>
    <t>EMBRATUR</t>
  </si>
  <si>
    <t>40701</t>
  </si>
  <si>
    <t>INST. BR. MEIO AMB. REC. NAT. RENOVAVEIS</t>
  </si>
  <si>
    <t>IBAMA</t>
  </si>
  <si>
    <t>40801</t>
  </si>
  <si>
    <t>GOVERNO DO EX-TERRITORIO DO AMAPA</t>
  </si>
  <si>
    <t>EX-TER/AP</t>
  </si>
  <si>
    <t>40803</t>
  </si>
  <si>
    <t>GOVERNO DO EX-TERRITORIO DE RONDONIA</t>
  </si>
  <si>
    <t>EX-TER/RO</t>
  </si>
  <si>
    <t>40804</t>
  </si>
  <si>
    <t>GOVERNO DO EX-TERRITORIO DE RORAIMA</t>
  </si>
  <si>
    <t>EX-TER/RR</t>
  </si>
  <si>
    <t>40806</t>
  </si>
  <si>
    <t>DEP.DE CENTRAL.SERV.DE INATIVOS E PENS.</t>
  </si>
  <si>
    <t>DECIP/SGP</t>
  </si>
  <si>
    <t>41100</t>
  </si>
  <si>
    <t>MINISTERIO DAS COMUNICACOES</t>
  </si>
  <si>
    <t>MCOM</t>
  </si>
  <si>
    <t>41231</t>
  </si>
  <si>
    <t>AGENCIA NACIONAL DE TELECOMUNICACOES</t>
  </si>
  <si>
    <t>ANATEL</t>
  </si>
  <si>
    <t>42201</t>
  </si>
  <si>
    <t>INSTITUTO NAC. DE COLONIZ E REF AGRARIA</t>
  </si>
  <si>
    <t>INCRA</t>
  </si>
  <si>
    <t>42204</t>
  </si>
  <si>
    <t>DEPTO. NACIONAL DE OBRAS CONTRA AS SECAS</t>
  </si>
  <si>
    <t>DNOCS</t>
  </si>
  <si>
    <t>42207</t>
  </si>
  <si>
    <t>INSTITUTO BRASILEIRO DE MUSEUS</t>
  </si>
  <si>
    <t>IBRAM</t>
  </si>
  <si>
    <t>44205</t>
  </si>
  <si>
    <t>AGENCIA NACIONAL DE AGUAS</t>
  </si>
  <si>
    <t>ANA</t>
  </si>
  <si>
    <t>44206</t>
  </si>
  <si>
    <t>INSTITUTO DE PESQ. JARDIM BOTANICO DO RJ</t>
  </si>
  <si>
    <t>JBRJ</t>
  </si>
  <si>
    <t>44207</t>
  </si>
  <si>
    <t>INSTITUTO CHICO MENDES CONSERV.BIODIVER.</t>
  </si>
  <si>
    <t>ICMBIO</t>
  </si>
  <si>
    <t>45203</t>
  </si>
  <si>
    <t>COMISSAO DE VALORES MOBILIARIOS</t>
  </si>
  <si>
    <t>CVM</t>
  </si>
  <si>
    <t>45205</t>
  </si>
  <si>
    <t>FUND. INST. BRASIL. GEOG. E ESTATISTICA</t>
  </si>
  <si>
    <t>45206</t>
  </si>
  <si>
    <t>INSTITUTO DE PESQUISA ECONOMICA APLICADA</t>
  </si>
  <si>
    <t>IPEA</t>
  </si>
  <si>
    <t>45208</t>
  </si>
  <si>
    <t>SUPERINTENDENCIA DE SEGUROS PRIVADOS</t>
  </si>
  <si>
    <t>SUSEP</t>
  </si>
  <si>
    <t>49000</t>
  </si>
  <si>
    <t>MINISTERIO DA INFRAESTRUTURA</t>
  </si>
  <si>
    <t>MINFRA</t>
  </si>
  <si>
    <t>49100</t>
  </si>
  <si>
    <t>MINISTERIO DE PORTOS E AEROPORTOS</t>
  </si>
  <si>
    <t>MPOR</t>
  </si>
  <si>
    <t>49200</t>
  </si>
  <si>
    <t>MINISTERIO DOS TRANSPORTES</t>
  </si>
  <si>
    <t>MT</t>
  </si>
  <si>
    <t>52201</t>
  </si>
  <si>
    <t>AGENCIA NACIONAL DE AVIACAO CIVIL</t>
  </si>
  <si>
    <t>ANAC</t>
  </si>
  <si>
    <t>53202</t>
  </si>
  <si>
    <t>SUPERINTENDENCIA DO DESENV. DA AMAZONIA</t>
  </si>
  <si>
    <t>SUDAM</t>
  </si>
  <si>
    <t>53203</t>
  </si>
  <si>
    <t>SUPERINTENDENCIA DO DESENV. DO NORDESTE</t>
  </si>
  <si>
    <t>SUDENE</t>
  </si>
  <si>
    <t>53297</t>
  </si>
  <si>
    <t>SUP.DE DESENVOLVIMENTO DO CENTRO OESTE</t>
  </si>
  <si>
    <t>SUDECO</t>
  </si>
  <si>
    <t>54000</t>
  </si>
  <si>
    <t>MINISTERIO DO TURISMO</t>
  </si>
  <si>
    <t>MTUR</t>
  </si>
  <si>
    <t>54100</t>
  </si>
  <si>
    <t>MINISTERIO DA CULTURA</t>
  </si>
  <si>
    <t>MINC</t>
  </si>
  <si>
    <t>55000</t>
  </si>
  <si>
    <t>MINISTERIO DA CIDADANIA</t>
  </si>
  <si>
    <t>MC</t>
  </si>
  <si>
    <t>55100</t>
  </si>
  <si>
    <t>MIN DESENV ASSIS SOCI FAMIL COMBATE FOME</t>
  </si>
  <si>
    <t>MDS</t>
  </si>
  <si>
    <t>55200</t>
  </si>
  <si>
    <t>MINISTERIO DO ESPORTE</t>
  </si>
  <si>
    <t>MESP</t>
  </si>
  <si>
    <t>57201</t>
  </si>
  <si>
    <t>FUND.JORGE DUPRAT FIG. SEG. MED.TRABALHO</t>
  </si>
  <si>
    <t>F.CENTRO</t>
  </si>
  <si>
    <t>57202</t>
  </si>
  <si>
    <t>INSTITUTO NACIONAL DE SEGURO SOCIAL</t>
  </si>
  <si>
    <t>59000</t>
  </si>
  <si>
    <t>CONTROLADORIA-GERAL DA UNIAO</t>
  </si>
  <si>
    <t>CGU</t>
  </si>
  <si>
    <t>70000</t>
  </si>
  <si>
    <t>COMANDO DA MARINHA</t>
  </si>
  <si>
    <t>98000</t>
  </si>
  <si>
    <t>ORGAO CENTRAL DO SIPEC</t>
  </si>
  <si>
    <t>SIPEC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</si>
</sst>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"/>
    </font>
    <font>
      <b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0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 applyAlignment="1">
      <alignment wrapText="1"/>
    </xf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D9D9D9"/>
      <rgbColor rgb="FF808080"/>
      <rgbColor rgb="FF9999FF"/>
      <rgbColor rgb="FFA02B93"/>
      <rgbColor rgb="FFFFFFCC"/>
      <rgbColor rgb="FFD9EAF7"/>
      <rgbColor rgb="FF660066"/>
      <rgbColor rgb="FFFF8080"/>
      <rgbColor rgb="FF0066CC"/>
      <rgbColor rgb="FFD2D2DF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Resumo das respostas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8D8-4560-8B79-D27D5DC423E3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8D8-4560-8B79-D27D5DC423E3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8D8-4560-8B79-D27D5DC423E3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8D8-4560-8B79-D27D5DC423E3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8D8-4560-8B79-D27D5DC423E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8D8-4560-8B79-D27D5DC423E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8D8-4560-8B79-D27D5DC423E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8D8-4560-8B79-D27D5DC423E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8D8-4560-8B79-D27D5DC423E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8D8-4560-8B79-D27D5DC42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Planilha1!$A$13:$A$17</c:f>
              <c:strCache>
                <c:ptCount val="5"/>
                <c:pt idx="0">
                  <c:v>1. Qual é o total de vagas dos 10 órgãos analisados?</c:v>
                </c:pt>
                <c:pt idx="1">
                  <c:v>2. Qual é o total de cargos ocupados nesses 10 órgãos?</c:v>
                </c:pt>
                <c:pt idx="2">
                  <c:v>3. Qual órgão possui o maior número de vagas?</c:v>
                </c:pt>
                <c:pt idx="3">
                  <c:v>4. Qual é a participação do órgão com mais vagas no total de vagas da seleção?</c:v>
                </c:pt>
                <c:pt idx="4">
                  <c:v>5. Qual é a diferença entre o maior e o menor número de vagas da seleção?</c:v>
                </c:pt>
              </c:strCache>
            </c:strRef>
          </c:cat>
          <c:val>
            <c:numRef>
              <c:f>Planilha1!$C$13:$C$17</c:f>
              <c:numCache>
                <c:formatCode>#,##0</c:formatCode>
                <c:ptCount val="5"/>
                <c:pt idx="0">
                  <c:v>150032</c:v>
                </c:pt>
                <c:pt idx="1">
                  <c:v>96831</c:v>
                </c:pt>
                <c:pt idx="2">
                  <c:v>33726</c:v>
                </c:pt>
                <c:pt idx="3" formatCode="0.00%">
                  <c:v>0.22479204436386904</c:v>
                </c:pt>
                <c:pt idx="4">
                  <c:v>29082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D8-4560-8B79-D27D5DC42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281880</xdr:colOff>
      <xdr:row>34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7" zoomScaleNormal="100" workbookViewId="0">
      <selection activeCell="C17" sqref="C17"/>
    </sheetView>
  </sheetViews>
  <sheetFormatPr defaultColWidth="8.85546875" defaultRowHeight="15"/>
  <cols>
    <col min="1" max="1" width="55" customWidth="1"/>
    <col min="2" max="2" width="23" customWidth="1"/>
    <col min="3" max="3" width="20" customWidth="1"/>
    <col min="4" max="4" width="18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65324</v>
      </c>
      <c r="C2" s="3">
        <v>59183</v>
      </c>
      <c r="D2" s="3">
        <v>31598</v>
      </c>
      <c r="E2" s="3">
        <v>33726</v>
      </c>
    </row>
    <row r="3" spans="1:5">
      <c r="A3" s="2" t="s">
        <v>6</v>
      </c>
      <c r="B3" s="3">
        <v>29770</v>
      </c>
      <c r="C3" s="3">
        <v>2149</v>
      </c>
      <c r="D3" s="3">
        <v>1378</v>
      </c>
      <c r="E3" s="3">
        <v>28392</v>
      </c>
    </row>
    <row r="4" spans="1:5">
      <c r="A4" s="2" t="s">
        <v>7</v>
      </c>
      <c r="B4" s="3">
        <v>47991</v>
      </c>
      <c r="C4" s="3">
        <v>20415</v>
      </c>
      <c r="D4" s="3">
        <v>19917</v>
      </c>
      <c r="E4" s="3">
        <v>28074</v>
      </c>
    </row>
    <row r="5" spans="1:5">
      <c r="A5" s="2" t="s">
        <v>8</v>
      </c>
      <c r="B5" s="3">
        <v>43040</v>
      </c>
      <c r="C5" s="3">
        <v>41503</v>
      </c>
      <c r="D5" s="3">
        <v>18568</v>
      </c>
      <c r="E5" s="3">
        <v>24472</v>
      </c>
    </row>
    <row r="6" spans="1:5">
      <c r="A6" s="2" t="s">
        <v>9</v>
      </c>
      <c r="B6" s="3">
        <v>11524</v>
      </c>
      <c r="C6" s="3">
        <v>11445</v>
      </c>
      <c r="D6" s="3">
        <v>4079</v>
      </c>
      <c r="E6" s="3">
        <v>7445</v>
      </c>
    </row>
    <row r="7" spans="1:5">
      <c r="A7" s="2" t="s">
        <v>10</v>
      </c>
      <c r="B7" s="3">
        <v>8617</v>
      </c>
      <c r="C7" s="3">
        <v>7603</v>
      </c>
      <c r="D7" s="3">
        <v>2279</v>
      </c>
      <c r="E7" s="3">
        <v>6338</v>
      </c>
    </row>
    <row r="8" spans="1:5">
      <c r="A8" s="2" t="s">
        <v>11</v>
      </c>
      <c r="B8" s="3">
        <v>14946</v>
      </c>
      <c r="C8" s="3">
        <v>9311</v>
      </c>
      <c r="D8" s="3">
        <v>8626</v>
      </c>
      <c r="E8" s="3">
        <v>6320</v>
      </c>
    </row>
    <row r="9" spans="1:5">
      <c r="A9" s="2" t="s">
        <v>12</v>
      </c>
      <c r="B9" s="3">
        <v>8425</v>
      </c>
      <c r="C9" s="3">
        <v>7444</v>
      </c>
      <c r="D9" s="3">
        <v>2549</v>
      </c>
      <c r="E9" s="3">
        <v>5876</v>
      </c>
    </row>
    <row r="10" spans="1:5">
      <c r="A10" s="2" t="s">
        <v>13</v>
      </c>
      <c r="B10" s="3">
        <v>7520</v>
      </c>
      <c r="C10" s="3">
        <v>7510</v>
      </c>
      <c r="D10" s="3">
        <v>2775</v>
      </c>
      <c r="E10" s="3">
        <v>4745</v>
      </c>
    </row>
    <row r="11" spans="1:5">
      <c r="A11" s="2" t="s">
        <v>14</v>
      </c>
      <c r="B11" s="3">
        <v>9706</v>
      </c>
      <c r="C11" s="3">
        <v>5586</v>
      </c>
      <c r="D11" s="3">
        <v>5062</v>
      </c>
      <c r="E11" s="3">
        <v>4644</v>
      </c>
    </row>
    <row r="13" spans="1:5" ht="43.5" customHeight="1">
      <c r="A13" s="4" t="s">
        <v>15</v>
      </c>
      <c r="B13" t="s">
        <v>16</v>
      </c>
      <c r="C13" s="5">
        <f>SUM(E2:E11)</f>
        <v>150032</v>
      </c>
    </row>
    <row r="14" spans="1:5" ht="36" customHeight="1">
      <c r="A14" s="4" t="s">
        <v>17</v>
      </c>
      <c r="B14" t="s">
        <v>18</v>
      </c>
      <c r="C14" s="5">
        <f>SUM(D2:D11)</f>
        <v>96831</v>
      </c>
    </row>
    <row r="15" spans="1:5" ht="38.25" customHeight="1">
      <c r="A15" s="4" t="s">
        <v>19</v>
      </c>
      <c r="B15" s="6" t="s">
        <v>20</v>
      </c>
      <c r="C15" s="5">
        <f>MAX(E2:E11)</f>
        <v>33726</v>
      </c>
    </row>
    <row r="16" spans="1:5" ht="46.5" customHeight="1">
      <c r="A16" s="4" t="s">
        <v>21</v>
      </c>
      <c r="B16" t="s">
        <v>22</v>
      </c>
      <c r="C16" s="7">
        <f>E2/SUM(E2:E11)</f>
        <v>0.22479204436386904</v>
      </c>
    </row>
    <row r="17" spans="1:3" ht="40.5" customHeight="1">
      <c r="A17" s="4" t="s">
        <v>23</v>
      </c>
      <c r="B17" t="s">
        <v>24</v>
      </c>
      <c r="C17" s="5">
        <f>MAX(E2:E11)-MIN(E2:E11)</f>
        <v>29082</v>
      </c>
    </row>
    <row r="19" spans="1:3" ht="149.25" hidden="1" customHeight="1">
      <c r="A19" t="s">
        <v>25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2"/>
  <sheetViews>
    <sheetView zoomScaleNormal="100" workbookViewId="0">
      <pane ySplit="1" topLeftCell="A2" activePane="bottomLeft" state="frozen"/>
      <selection pane="bottomLeft"/>
    </sheetView>
  </sheetViews>
  <sheetFormatPr defaultColWidth="12" defaultRowHeight="15"/>
  <cols>
    <col min="4" max="4" width="13" customWidth="1"/>
    <col min="6" max="6" width="13" customWidth="1"/>
  </cols>
  <sheetData>
    <row r="1" spans="1:8" s="8" customForma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</row>
    <row r="2" spans="1:8">
      <c r="A2" t="s">
        <v>34</v>
      </c>
      <c r="B2" t="s">
        <v>35</v>
      </c>
      <c r="C2" t="s">
        <v>36</v>
      </c>
      <c r="D2" t="s">
        <v>14</v>
      </c>
      <c r="E2">
        <v>12</v>
      </c>
      <c r="F2">
        <v>12</v>
      </c>
      <c r="G2">
        <v>5</v>
      </c>
      <c r="H2">
        <v>7</v>
      </c>
    </row>
    <row r="3" spans="1:8">
      <c r="A3" t="s">
        <v>34</v>
      </c>
      <c r="B3" t="s">
        <v>37</v>
      </c>
      <c r="C3" t="s">
        <v>38</v>
      </c>
      <c r="D3" t="s">
        <v>39</v>
      </c>
      <c r="E3">
        <v>117</v>
      </c>
      <c r="F3">
        <v>40</v>
      </c>
      <c r="G3">
        <v>39</v>
      </c>
      <c r="H3">
        <v>78</v>
      </c>
    </row>
    <row r="4" spans="1:8">
      <c r="A4" t="s">
        <v>34</v>
      </c>
      <c r="B4" t="s">
        <v>40</v>
      </c>
      <c r="C4" t="s">
        <v>41</v>
      </c>
      <c r="D4" t="s">
        <v>42</v>
      </c>
      <c r="E4">
        <v>49</v>
      </c>
      <c r="F4">
        <v>47</v>
      </c>
      <c r="G4">
        <v>44</v>
      </c>
      <c r="H4">
        <v>5</v>
      </c>
    </row>
    <row r="5" spans="1:8">
      <c r="A5" t="s">
        <v>34</v>
      </c>
      <c r="B5" t="s">
        <v>43</v>
      </c>
      <c r="C5" t="s">
        <v>44</v>
      </c>
      <c r="D5" t="s">
        <v>14</v>
      </c>
      <c r="E5">
        <v>9706</v>
      </c>
      <c r="F5">
        <v>5586</v>
      </c>
      <c r="G5">
        <v>5062</v>
      </c>
      <c r="H5">
        <v>4644</v>
      </c>
    </row>
    <row r="6" spans="1:8">
      <c r="A6" t="s">
        <v>34</v>
      </c>
      <c r="B6" t="s">
        <v>45</v>
      </c>
      <c r="C6" t="s">
        <v>46</v>
      </c>
      <c r="D6" t="s">
        <v>6</v>
      </c>
      <c r="E6">
        <v>29770</v>
      </c>
      <c r="F6">
        <v>2149</v>
      </c>
      <c r="G6">
        <v>1378</v>
      </c>
      <c r="H6">
        <v>28392</v>
      </c>
    </row>
    <row r="7" spans="1:8">
      <c r="A7" t="s">
        <v>34</v>
      </c>
      <c r="B7" t="s">
        <v>47</v>
      </c>
      <c r="C7" t="s">
        <v>48</v>
      </c>
      <c r="D7" t="s">
        <v>13</v>
      </c>
      <c r="E7">
        <v>7520</v>
      </c>
      <c r="F7">
        <v>7510</v>
      </c>
      <c r="G7">
        <v>2775</v>
      </c>
      <c r="H7">
        <v>4745</v>
      </c>
    </row>
    <row r="8" spans="1:8">
      <c r="A8" t="s">
        <v>34</v>
      </c>
      <c r="B8" t="s">
        <v>49</v>
      </c>
      <c r="C8" t="s">
        <v>50</v>
      </c>
      <c r="D8" t="s">
        <v>51</v>
      </c>
      <c r="E8">
        <v>93</v>
      </c>
      <c r="F8">
        <v>92</v>
      </c>
      <c r="G8">
        <v>57</v>
      </c>
      <c r="H8">
        <v>36</v>
      </c>
    </row>
    <row r="9" spans="1:8">
      <c r="A9" t="s">
        <v>34</v>
      </c>
      <c r="B9" t="s">
        <v>52</v>
      </c>
      <c r="C9" t="s">
        <v>53</v>
      </c>
      <c r="D9" t="s">
        <v>54</v>
      </c>
      <c r="E9">
        <v>1279</v>
      </c>
      <c r="F9">
        <v>1062</v>
      </c>
      <c r="G9">
        <v>8</v>
      </c>
      <c r="H9">
        <v>1271</v>
      </c>
    </row>
    <row r="10" spans="1:8">
      <c r="A10" t="s">
        <v>34</v>
      </c>
      <c r="B10" t="s">
        <v>55</v>
      </c>
      <c r="C10" t="s">
        <v>56</v>
      </c>
      <c r="D10" t="s">
        <v>57</v>
      </c>
      <c r="E10">
        <v>755</v>
      </c>
      <c r="F10">
        <v>651</v>
      </c>
      <c r="G10">
        <v>619</v>
      </c>
      <c r="H10">
        <v>136</v>
      </c>
    </row>
    <row r="11" spans="1:8">
      <c r="A11" t="s">
        <v>34</v>
      </c>
      <c r="B11" t="s">
        <v>58</v>
      </c>
      <c r="C11" t="s">
        <v>59</v>
      </c>
      <c r="D11" t="s">
        <v>60</v>
      </c>
      <c r="E11">
        <v>677</v>
      </c>
      <c r="F11">
        <v>450</v>
      </c>
      <c r="G11">
        <v>440</v>
      </c>
      <c r="H11">
        <v>237</v>
      </c>
    </row>
    <row r="12" spans="1:8">
      <c r="A12" t="s">
        <v>34</v>
      </c>
      <c r="B12" t="s">
        <v>61</v>
      </c>
      <c r="C12" t="s">
        <v>62</v>
      </c>
      <c r="D12" t="s">
        <v>11</v>
      </c>
      <c r="E12">
        <v>14946</v>
      </c>
      <c r="F12">
        <v>9311</v>
      </c>
      <c r="G12">
        <v>8626</v>
      </c>
      <c r="H12">
        <v>6320</v>
      </c>
    </row>
    <row r="13" spans="1:8">
      <c r="A13" t="s">
        <v>34</v>
      </c>
      <c r="B13" t="s">
        <v>63</v>
      </c>
      <c r="C13" t="s">
        <v>64</v>
      </c>
      <c r="D13" t="s">
        <v>7</v>
      </c>
      <c r="E13">
        <v>47991</v>
      </c>
      <c r="F13">
        <v>20415</v>
      </c>
      <c r="G13">
        <v>19917</v>
      </c>
      <c r="H13">
        <v>28074</v>
      </c>
    </row>
    <row r="14" spans="1:8">
      <c r="A14" t="s">
        <v>34</v>
      </c>
      <c r="B14" t="s">
        <v>65</v>
      </c>
      <c r="C14" t="s">
        <v>66</v>
      </c>
      <c r="D14" t="s">
        <v>67</v>
      </c>
      <c r="E14">
        <v>33</v>
      </c>
      <c r="F14">
        <v>10</v>
      </c>
      <c r="G14">
        <v>10</v>
      </c>
      <c r="H14">
        <v>23</v>
      </c>
    </row>
    <row r="15" spans="1:8">
      <c r="A15" t="s">
        <v>34</v>
      </c>
      <c r="B15" t="s">
        <v>68</v>
      </c>
      <c r="C15" t="s">
        <v>69</v>
      </c>
      <c r="D15" t="s">
        <v>70</v>
      </c>
      <c r="E15">
        <v>50</v>
      </c>
      <c r="F15">
        <v>0</v>
      </c>
      <c r="G15">
        <v>0</v>
      </c>
      <c r="H15">
        <v>50</v>
      </c>
    </row>
    <row r="16" spans="1:8">
      <c r="A16" t="s">
        <v>34</v>
      </c>
      <c r="B16" t="s">
        <v>71</v>
      </c>
      <c r="C16" t="s">
        <v>72</v>
      </c>
      <c r="D16" t="s">
        <v>73</v>
      </c>
      <c r="E16">
        <v>2109</v>
      </c>
      <c r="F16">
        <v>2109</v>
      </c>
      <c r="G16">
        <v>1794</v>
      </c>
      <c r="H16">
        <v>315</v>
      </c>
    </row>
    <row r="17" spans="1:8">
      <c r="A17" t="s">
        <v>34</v>
      </c>
      <c r="B17" t="s">
        <v>74</v>
      </c>
      <c r="C17" t="s">
        <v>75</v>
      </c>
      <c r="D17" t="s">
        <v>76</v>
      </c>
      <c r="E17">
        <v>396</v>
      </c>
      <c r="F17">
        <v>185</v>
      </c>
      <c r="G17">
        <v>54</v>
      </c>
      <c r="H17">
        <v>342</v>
      </c>
    </row>
    <row r="18" spans="1:8">
      <c r="A18" t="s">
        <v>34</v>
      </c>
      <c r="B18" t="s">
        <v>77</v>
      </c>
      <c r="C18" t="s">
        <v>78</v>
      </c>
      <c r="D18" t="s">
        <v>79</v>
      </c>
      <c r="E18">
        <v>4577</v>
      </c>
      <c r="F18">
        <v>1447</v>
      </c>
      <c r="G18">
        <v>1065</v>
      </c>
      <c r="H18">
        <v>3512</v>
      </c>
    </row>
    <row r="19" spans="1:8">
      <c r="A19" t="s">
        <v>34</v>
      </c>
      <c r="B19" t="s">
        <v>80</v>
      </c>
      <c r="C19" t="s">
        <v>81</v>
      </c>
      <c r="D19" t="s">
        <v>82</v>
      </c>
      <c r="E19">
        <v>17434</v>
      </c>
      <c r="F19">
        <v>17421</v>
      </c>
      <c r="G19">
        <v>14117</v>
      </c>
      <c r="H19">
        <v>3317</v>
      </c>
    </row>
    <row r="20" spans="1:8">
      <c r="A20" t="s">
        <v>34</v>
      </c>
      <c r="B20" t="s">
        <v>83</v>
      </c>
      <c r="C20" t="s">
        <v>84</v>
      </c>
      <c r="D20" t="s">
        <v>85</v>
      </c>
      <c r="E20">
        <v>361</v>
      </c>
      <c r="F20">
        <v>361</v>
      </c>
      <c r="G20">
        <v>314</v>
      </c>
      <c r="H20">
        <v>47</v>
      </c>
    </row>
    <row r="21" spans="1:8">
      <c r="A21" t="s">
        <v>34</v>
      </c>
      <c r="B21" t="s">
        <v>86</v>
      </c>
      <c r="C21" t="s">
        <v>87</v>
      </c>
      <c r="D21" t="s">
        <v>12</v>
      </c>
      <c r="E21">
        <v>8425</v>
      </c>
      <c r="F21">
        <v>7444</v>
      </c>
      <c r="G21">
        <v>2549</v>
      </c>
      <c r="H21">
        <v>5876</v>
      </c>
    </row>
    <row r="22" spans="1:8">
      <c r="A22" t="s">
        <v>34</v>
      </c>
      <c r="B22" t="s">
        <v>88</v>
      </c>
      <c r="C22" t="s">
        <v>89</v>
      </c>
      <c r="D22" t="s">
        <v>90</v>
      </c>
      <c r="E22">
        <v>69</v>
      </c>
      <c r="F22">
        <v>0</v>
      </c>
      <c r="G22">
        <v>0</v>
      </c>
      <c r="H22">
        <v>69</v>
      </c>
    </row>
    <row r="23" spans="1:8">
      <c r="A23" t="s">
        <v>34</v>
      </c>
      <c r="B23" t="s">
        <v>91</v>
      </c>
      <c r="C23" t="s">
        <v>92</v>
      </c>
      <c r="D23" t="s">
        <v>93</v>
      </c>
      <c r="E23">
        <v>176</v>
      </c>
      <c r="F23">
        <v>176</v>
      </c>
      <c r="G23">
        <v>82</v>
      </c>
      <c r="H23">
        <v>94</v>
      </c>
    </row>
    <row r="24" spans="1:8">
      <c r="A24" t="s">
        <v>34</v>
      </c>
      <c r="B24" t="s">
        <v>94</v>
      </c>
      <c r="C24" t="s">
        <v>95</v>
      </c>
      <c r="D24" t="s">
        <v>96</v>
      </c>
      <c r="E24">
        <v>322</v>
      </c>
      <c r="F24">
        <v>163</v>
      </c>
      <c r="G24">
        <v>150</v>
      </c>
      <c r="H24">
        <v>172</v>
      </c>
    </row>
    <row r="25" spans="1:8">
      <c r="A25" t="s">
        <v>34</v>
      </c>
      <c r="B25" t="s">
        <v>97</v>
      </c>
      <c r="C25" t="s">
        <v>98</v>
      </c>
      <c r="D25" t="s">
        <v>99</v>
      </c>
      <c r="E25">
        <v>1173</v>
      </c>
      <c r="F25">
        <v>1004</v>
      </c>
      <c r="G25">
        <v>868</v>
      </c>
      <c r="H25">
        <v>305</v>
      </c>
    </row>
    <row r="26" spans="1:8">
      <c r="A26" t="s">
        <v>34</v>
      </c>
      <c r="B26" t="s">
        <v>100</v>
      </c>
      <c r="C26" t="s">
        <v>101</v>
      </c>
      <c r="D26" t="s">
        <v>102</v>
      </c>
      <c r="E26">
        <v>442</v>
      </c>
      <c r="F26">
        <v>243</v>
      </c>
      <c r="G26">
        <v>223</v>
      </c>
      <c r="H26">
        <v>219</v>
      </c>
    </row>
    <row r="27" spans="1:8">
      <c r="A27" t="s">
        <v>34</v>
      </c>
      <c r="B27" t="s">
        <v>103</v>
      </c>
      <c r="C27" t="s">
        <v>104</v>
      </c>
      <c r="D27" t="s">
        <v>5</v>
      </c>
      <c r="E27">
        <v>65324</v>
      </c>
      <c r="F27">
        <v>59183</v>
      </c>
      <c r="G27">
        <v>31598</v>
      </c>
      <c r="H27">
        <v>33726</v>
      </c>
    </row>
    <row r="28" spans="1:8">
      <c r="A28" t="s">
        <v>34</v>
      </c>
      <c r="B28" t="s">
        <v>105</v>
      </c>
      <c r="C28" t="s">
        <v>106</v>
      </c>
      <c r="D28" t="s">
        <v>107</v>
      </c>
      <c r="E28">
        <v>1120</v>
      </c>
      <c r="F28">
        <v>1100</v>
      </c>
      <c r="G28">
        <v>488</v>
      </c>
      <c r="H28">
        <v>632</v>
      </c>
    </row>
    <row r="29" spans="1:8">
      <c r="A29" t="s">
        <v>34</v>
      </c>
      <c r="B29" t="s">
        <v>108</v>
      </c>
      <c r="C29" t="s">
        <v>109</v>
      </c>
      <c r="D29" t="s">
        <v>110</v>
      </c>
      <c r="E29">
        <v>617</v>
      </c>
      <c r="F29">
        <v>592</v>
      </c>
      <c r="G29">
        <v>387</v>
      </c>
      <c r="H29">
        <v>230</v>
      </c>
    </row>
    <row r="30" spans="1:8">
      <c r="A30" t="s">
        <v>34</v>
      </c>
      <c r="B30" t="s">
        <v>111</v>
      </c>
      <c r="C30" t="s">
        <v>112</v>
      </c>
      <c r="D30" t="s">
        <v>113</v>
      </c>
      <c r="E30">
        <v>2339</v>
      </c>
      <c r="F30">
        <v>2287</v>
      </c>
      <c r="G30">
        <v>2235</v>
      </c>
      <c r="H30">
        <v>104</v>
      </c>
    </row>
    <row r="31" spans="1:8">
      <c r="A31" t="s">
        <v>34</v>
      </c>
      <c r="B31" t="s">
        <v>114</v>
      </c>
      <c r="C31" t="s">
        <v>115</v>
      </c>
      <c r="D31" t="s">
        <v>116</v>
      </c>
      <c r="E31">
        <v>1075</v>
      </c>
      <c r="F31">
        <v>1037</v>
      </c>
      <c r="G31">
        <v>1004</v>
      </c>
      <c r="H31">
        <v>71</v>
      </c>
    </row>
    <row r="32" spans="1:8">
      <c r="A32" t="s">
        <v>34</v>
      </c>
      <c r="B32" t="s">
        <v>117</v>
      </c>
      <c r="C32" t="s">
        <v>118</v>
      </c>
      <c r="D32" t="s">
        <v>119</v>
      </c>
      <c r="E32">
        <v>3471</v>
      </c>
      <c r="F32">
        <v>3417</v>
      </c>
      <c r="G32">
        <v>3279</v>
      </c>
      <c r="H32">
        <v>192</v>
      </c>
    </row>
    <row r="33" spans="1:8">
      <c r="A33" t="s">
        <v>34</v>
      </c>
      <c r="B33" t="s">
        <v>120</v>
      </c>
      <c r="C33" t="s">
        <v>121</v>
      </c>
      <c r="D33" t="s">
        <v>122</v>
      </c>
      <c r="E33">
        <v>5802</v>
      </c>
      <c r="F33">
        <v>5802</v>
      </c>
      <c r="G33">
        <v>5521</v>
      </c>
      <c r="H33">
        <v>281</v>
      </c>
    </row>
    <row r="34" spans="1:8">
      <c r="A34" t="s">
        <v>34</v>
      </c>
      <c r="B34" t="s">
        <v>123</v>
      </c>
      <c r="C34" t="s">
        <v>124</v>
      </c>
      <c r="D34" t="s">
        <v>125</v>
      </c>
      <c r="E34">
        <v>5673</v>
      </c>
      <c r="F34">
        <v>5583</v>
      </c>
      <c r="G34">
        <v>5348</v>
      </c>
      <c r="H34">
        <v>325</v>
      </c>
    </row>
    <row r="35" spans="1:8">
      <c r="A35" t="s">
        <v>34</v>
      </c>
      <c r="B35" t="s">
        <v>126</v>
      </c>
      <c r="C35" t="s">
        <v>127</v>
      </c>
      <c r="D35" t="s">
        <v>128</v>
      </c>
      <c r="E35">
        <v>3773</v>
      </c>
      <c r="F35">
        <v>3747</v>
      </c>
      <c r="G35">
        <v>3613</v>
      </c>
      <c r="H35">
        <v>160</v>
      </c>
    </row>
    <row r="36" spans="1:8">
      <c r="A36" t="s">
        <v>34</v>
      </c>
      <c r="B36" t="s">
        <v>129</v>
      </c>
      <c r="C36" t="s">
        <v>130</v>
      </c>
      <c r="D36" t="s">
        <v>131</v>
      </c>
      <c r="E36">
        <v>4412</v>
      </c>
      <c r="F36">
        <v>4338</v>
      </c>
      <c r="G36">
        <v>4213</v>
      </c>
      <c r="H36">
        <v>199</v>
      </c>
    </row>
    <row r="37" spans="1:8">
      <c r="A37" t="s">
        <v>34</v>
      </c>
      <c r="B37" t="s">
        <v>132</v>
      </c>
      <c r="C37" t="s">
        <v>133</v>
      </c>
      <c r="D37" t="s">
        <v>134</v>
      </c>
      <c r="E37">
        <v>7357</v>
      </c>
      <c r="F37">
        <v>7281</v>
      </c>
      <c r="G37">
        <v>6776</v>
      </c>
      <c r="H37">
        <v>581</v>
      </c>
    </row>
    <row r="38" spans="1:8">
      <c r="A38" t="s">
        <v>34</v>
      </c>
      <c r="B38" t="s">
        <v>135</v>
      </c>
      <c r="C38" t="s">
        <v>136</v>
      </c>
      <c r="D38" t="s">
        <v>137</v>
      </c>
      <c r="E38">
        <v>3217</v>
      </c>
      <c r="F38">
        <v>3185</v>
      </c>
      <c r="G38">
        <v>3104</v>
      </c>
      <c r="H38">
        <v>113</v>
      </c>
    </row>
    <row r="39" spans="1:8">
      <c r="A39" t="s">
        <v>34</v>
      </c>
      <c r="B39" t="s">
        <v>138</v>
      </c>
      <c r="C39" t="s">
        <v>139</v>
      </c>
      <c r="D39" t="s">
        <v>140</v>
      </c>
      <c r="E39">
        <v>7433</v>
      </c>
      <c r="F39">
        <v>7392</v>
      </c>
      <c r="G39">
        <v>7075</v>
      </c>
      <c r="H39">
        <v>358</v>
      </c>
    </row>
    <row r="40" spans="1:8">
      <c r="A40" t="s">
        <v>34</v>
      </c>
      <c r="B40" t="s">
        <v>141</v>
      </c>
      <c r="C40" t="s">
        <v>142</v>
      </c>
      <c r="D40" t="s">
        <v>143</v>
      </c>
      <c r="E40">
        <v>5431</v>
      </c>
      <c r="F40">
        <v>5399</v>
      </c>
      <c r="G40">
        <v>5204</v>
      </c>
      <c r="H40">
        <v>227</v>
      </c>
    </row>
    <row r="41" spans="1:8">
      <c r="A41" t="s">
        <v>34</v>
      </c>
      <c r="B41" t="s">
        <v>144</v>
      </c>
      <c r="C41" t="s">
        <v>145</v>
      </c>
      <c r="D41" t="s">
        <v>146</v>
      </c>
      <c r="E41">
        <v>6155</v>
      </c>
      <c r="F41">
        <v>6096</v>
      </c>
      <c r="G41">
        <v>5877</v>
      </c>
      <c r="H41">
        <v>278</v>
      </c>
    </row>
    <row r="42" spans="1:8">
      <c r="A42" t="s">
        <v>34</v>
      </c>
      <c r="B42" t="s">
        <v>147</v>
      </c>
      <c r="C42" t="s">
        <v>148</v>
      </c>
      <c r="D42" t="s">
        <v>149</v>
      </c>
      <c r="E42">
        <v>6078</v>
      </c>
      <c r="F42">
        <v>6046</v>
      </c>
      <c r="G42">
        <v>5838</v>
      </c>
      <c r="H42">
        <v>240</v>
      </c>
    </row>
    <row r="43" spans="1:8">
      <c r="A43" t="s">
        <v>34</v>
      </c>
      <c r="B43" t="s">
        <v>150</v>
      </c>
      <c r="C43" t="s">
        <v>151</v>
      </c>
      <c r="D43" t="s">
        <v>152</v>
      </c>
      <c r="E43">
        <v>6648</v>
      </c>
      <c r="F43">
        <v>6570</v>
      </c>
      <c r="G43">
        <v>6275</v>
      </c>
      <c r="H43">
        <v>373</v>
      </c>
    </row>
    <row r="44" spans="1:8">
      <c r="A44" t="s">
        <v>34</v>
      </c>
      <c r="B44" t="s">
        <v>153</v>
      </c>
      <c r="C44" t="s">
        <v>154</v>
      </c>
      <c r="D44" t="s">
        <v>155</v>
      </c>
      <c r="E44">
        <v>5505</v>
      </c>
      <c r="F44">
        <v>5453</v>
      </c>
      <c r="G44">
        <v>5258</v>
      </c>
      <c r="H44">
        <v>247</v>
      </c>
    </row>
    <row r="45" spans="1:8">
      <c r="A45" t="s">
        <v>34</v>
      </c>
      <c r="B45" t="s">
        <v>156</v>
      </c>
      <c r="C45" t="s">
        <v>157</v>
      </c>
      <c r="D45" t="s">
        <v>158</v>
      </c>
      <c r="E45">
        <v>5549</v>
      </c>
      <c r="F45">
        <v>5448</v>
      </c>
      <c r="G45">
        <v>5257</v>
      </c>
      <c r="H45">
        <v>292</v>
      </c>
    </row>
    <row r="46" spans="1:8">
      <c r="A46" t="s">
        <v>34</v>
      </c>
      <c r="B46" t="s">
        <v>159</v>
      </c>
      <c r="C46" t="s">
        <v>160</v>
      </c>
      <c r="D46" t="s">
        <v>161</v>
      </c>
      <c r="E46">
        <v>13047</v>
      </c>
      <c r="F46">
        <v>12930</v>
      </c>
      <c r="G46">
        <v>12184</v>
      </c>
      <c r="H46">
        <v>863</v>
      </c>
    </row>
    <row r="47" spans="1:8">
      <c r="A47" t="s">
        <v>34</v>
      </c>
      <c r="B47" t="s">
        <v>162</v>
      </c>
      <c r="C47" t="s">
        <v>163</v>
      </c>
      <c r="D47" t="s">
        <v>164</v>
      </c>
      <c r="E47">
        <v>5746</v>
      </c>
      <c r="F47">
        <v>5671</v>
      </c>
      <c r="G47">
        <v>5393</v>
      </c>
      <c r="H47">
        <v>353</v>
      </c>
    </row>
    <row r="48" spans="1:8">
      <c r="A48" t="s">
        <v>34</v>
      </c>
      <c r="B48" t="s">
        <v>165</v>
      </c>
      <c r="C48" t="s">
        <v>166</v>
      </c>
      <c r="D48" t="s">
        <v>167</v>
      </c>
      <c r="E48">
        <v>4620</v>
      </c>
      <c r="F48">
        <v>4576</v>
      </c>
      <c r="G48">
        <v>4364</v>
      </c>
      <c r="H48">
        <v>256</v>
      </c>
    </row>
    <row r="49" spans="1:8">
      <c r="A49" t="s">
        <v>34</v>
      </c>
      <c r="B49" t="s">
        <v>168</v>
      </c>
      <c r="C49" t="s">
        <v>169</v>
      </c>
      <c r="D49" t="s">
        <v>170</v>
      </c>
      <c r="E49">
        <v>2201</v>
      </c>
      <c r="F49">
        <v>2171</v>
      </c>
      <c r="G49">
        <v>2115</v>
      </c>
      <c r="H49">
        <v>86</v>
      </c>
    </row>
    <row r="50" spans="1:8">
      <c r="A50" t="s">
        <v>34</v>
      </c>
      <c r="B50" t="s">
        <v>171</v>
      </c>
      <c r="C50" t="s">
        <v>172</v>
      </c>
      <c r="D50" t="s">
        <v>173</v>
      </c>
      <c r="E50">
        <v>2390</v>
      </c>
      <c r="F50">
        <v>2343</v>
      </c>
      <c r="G50">
        <v>2250</v>
      </c>
      <c r="H50">
        <v>140</v>
      </c>
    </row>
    <row r="51" spans="1:8">
      <c r="A51" t="s">
        <v>34</v>
      </c>
      <c r="B51" t="s">
        <v>174</v>
      </c>
      <c r="C51" t="s">
        <v>175</v>
      </c>
      <c r="D51" t="s">
        <v>176</v>
      </c>
      <c r="E51">
        <v>1085</v>
      </c>
      <c r="F51">
        <v>1063</v>
      </c>
      <c r="G51">
        <v>1026</v>
      </c>
      <c r="H51">
        <v>59</v>
      </c>
    </row>
    <row r="52" spans="1:8">
      <c r="A52" t="s">
        <v>34</v>
      </c>
      <c r="B52" t="s">
        <v>177</v>
      </c>
      <c r="C52" t="s">
        <v>178</v>
      </c>
      <c r="D52" t="s">
        <v>179</v>
      </c>
      <c r="E52">
        <v>1578</v>
      </c>
      <c r="F52">
        <v>1527</v>
      </c>
      <c r="G52">
        <v>1495</v>
      </c>
      <c r="H52">
        <v>83</v>
      </c>
    </row>
    <row r="53" spans="1:8">
      <c r="A53" t="s">
        <v>34</v>
      </c>
      <c r="B53" t="s">
        <v>180</v>
      </c>
      <c r="C53" t="s">
        <v>181</v>
      </c>
      <c r="D53" t="s">
        <v>182</v>
      </c>
      <c r="E53">
        <v>3070</v>
      </c>
      <c r="F53">
        <v>3042</v>
      </c>
      <c r="G53">
        <v>2918</v>
      </c>
      <c r="H53">
        <v>152</v>
      </c>
    </row>
    <row r="54" spans="1:8">
      <c r="A54" t="s">
        <v>34</v>
      </c>
      <c r="B54" t="s">
        <v>183</v>
      </c>
      <c r="C54" t="s">
        <v>184</v>
      </c>
      <c r="D54" t="s">
        <v>185</v>
      </c>
      <c r="E54">
        <v>1198</v>
      </c>
      <c r="F54">
        <v>1137</v>
      </c>
      <c r="G54">
        <v>1078</v>
      </c>
      <c r="H54">
        <v>120</v>
      </c>
    </row>
    <row r="55" spans="1:8">
      <c r="A55" t="s">
        <v>34</v>
      </c>
      <c r="B55" t="s">
        <v>186</v>
      </c>
      <c r="C55" t="s">
        <v>187</v>
      </c>
      <c r="D55" t="s">
        <v>188</v>
      </c>
      <c r="E55">
        <v>2091</v>
      </c>
      <c r="F55">
        <v>2062</v>
      </c>
      <c r="G55">
        <v>1987</v>
      </c>
      <c r="H55">
        <v>104</v>
      </c>
    </row>
    <row r="56" spans="1:8">
      <c r="A56" t="s">
        <v>34</v>
      </c>
      <c r="B56" t="s">
        <v>189</v>
      </c>
      <c r="C56" t="s">
        <v>190</v>
      </c>
      <c r="D56" t="s">
        <v>191</v>
      </c>
      <c r="E56">
        <v>1582</v>
      </c>
      <c r="F56">
        <v>1527</v>
      </c>
      <c r="G56">
        <v>1493</v>
      </c>
      <c r="H56">
        <v>89</v>
      </c>
    </row>
    <row r="57" spans="1:8">
      <c r="A57" t="s">
        <v>34</v>
      </c>
      <c r="B57" t="s">
        <v>192</v>
      </c>
      <c r="C57" t="s">
        <v>193</v>
      </c>
      <c r="D57" t="s">
        <v>194</v>
      </c>
      <c r="E57">
        <v>1563</v>
      </c>
      <c r="F57">
        <v>1559</v>
      </c>
      <c r="G57">
        <v>1464</v>
      </c>
      <c r="H57">
        <v>99</v>
      </c>
    </row>
    <row r="58" spans="1:8">
      <c r="A58" t="s">
        <v>34</v>
      </c>
      <c r="B58" t="s">
        <v>195</v>
      </c>
      <c r="C58" t="s">
        <v>196</v>
      </c>
      <c r="D58" t="s">
        <v>197</v>
      </c>
      <c r="E58">
        <v>1655</v>
      </c>
      <c r="F58">
        <v>1651</v>
      </c>
      <c r="G58">
        <v>1601</v>
      </c>
      <c r="H58">
        <v>54</v>
      </c>
    </row>
    <row r="59" spans="1:8">
      <c r="A59" t="s">
        <v>34</v>
      </c>
      <c r="B59" t="s">
        <v>198</v>
      </c>
      <c r="C59" t="s">
        <v>199</v>
      </c>
      <c r="D59" t="s">
        <v>200</v>
      </c>
      <c r="E59">
        <v>3637</v>
      </c>
      <c r="F59">
        <v>3609</v>
      </c>
      <c r="G59">
        <v>3534</v>
      </c>
      <c r="H59">
        <v>103</v>
      </c>
    </row>
    <row r="60" spans="1:8">
      <c r="A60" t="s">
        <v>34</v>
      </c>
      <c r="B60" t="s">
        <v>201</v>
      </c>
      <c r="C60" t="s">
        <v>202</v>
      </c>
      <c r="D60" t="s">
        <v>203</v>
      </c>
      <c r="E60">
        <v>959</v>
      </c>
      <c r="F60">
        <v>941</v>
      </c>
      <c r="G60">
        <v>915</v>
      </c>
      <c r="H60">
        <v>44</v>
      </c>
    </row>
    <row r="61" spans="1:8">
      <c r="A61" t="s">
        <v>34</v>
      </c>
      <c r="B61" t="s">
        <v>204</v>
      </c>
      <c r="C61" t="s">
        <v>205</v>
      </c>
      <c r="D61" t="s">
        <v>206</v>
      </c>
      <c r="E61">
        <v>942</v>
      </c>
      <c r="F61">
        <v>901</v>
      </c>
      <c r="G61">
        <v>885</v>
      </c>
      <c r="H61">
        <v>57</v>
      </c>
    </row>
    <row r="62" spans="1:8">
      <c r="A62" t="s">
        <v>34</v>
      </c>
      <c r="B62" t="s">
        <v>207</v>
      </c>
      <c r="C62" t="s">
        <v>208</v>
      </c>
      <c r="D62" t="s">
        <v>209</v>
      </c>
      <c r="E62">
        <v>5574</v>
      </c>
      <c r="F62">
        <v>5499</v>
      </c>
      <c r="G62">
        <v>5112</v>
      </c>
      <c r="H62">
        <v>462</v>
      </c>
    </row>
    <row r="63" spans="1:8">
      <c r="A63" t="s">
        <v>34</v>
      </c>
      <c r="B63" t="s">
        <v>210</v>
      </c>
      <c r="C63" t="s">
        <v>211</v>
      </c>
      <c r="D63" t="s">
        <v>212</v>
      </c>
      <c r="E63">
        <v>1565</v>
      </c>
      <c r="F63">
        <v>1455</v>
      </c>
      <c r="G63">
        <v>1407</v>
      </c>
      <c r="H63">
        <v>158</v>
      </c>
    </row>
    <row r="64" spans="1:8">
      <c r="A64" t="s">
        <v>34</v>
      </c>
      <c r="B64" t="s">
        <v>213</v>
      </c>
      <c r="C64" t="s">
        <v>214</v>
      </c>
      <c r="D64" t="s">
        <v>215</v>
      </c>
      <c r="E64">
        <v>1370</v>
      </c>
      <c r="F64">
        <v>1315</v>
      </c>
      <c r="G64">
        <v>1288</v>
      </c>
      <c r="H64">
        <v>82</v>
      </c>
    </row>
    <row r="65" spans="1:8">
      <c r="A65" t="s">
        <v>34</v>
      </c>
      <c r="B65" t="s">
        <v>216</v>
      </c>
      <c r="C65" t="s">
        <v>217</v>
      </c>
      <c r="D65" t="s">
        <v>218</v>
      </c>
      <c r="E65">
        <v>1910</v>
      </c>
      <c r="F65">
        <v>1840</v>
      </c>
      <c r="G65">
        <v>1773</v>
      </c>
      <c r="H65">
        <v>137</v>
      </c>
    </row>
    <row r="66" spans="1:8">
      <c r="A66" t="s">
        <v>34</v>
      </c>
      <c r="B66" t="s">
        <v>219</v>
      </c>
      <c r="C66" t="s">
        <v>220</v>
      </c>
      <c r="D66" t="s">
        <v>221</v>
      </c>
      <c r="E66">
        <v>1003</v>
      </c>
      <c r="F66">
        <v>960</v>
      </c>
      <c r="G66">
        <v>936</v>
      </c>
      <c r="H66">
        <v>67</v>
      </c>
    </row>
    <row r="67" spans="1:8">
      <c r="A67" t="s">
        <v>34</v>
      </c>
      <c r="B67" t="s">
        <v>222</v>
      </c>
      <c r="C67" t="s">
        <v>223</v>
      </c>
      <c r="D67" t="s">
        <v>224</v>
      </c>
      <c r="E67">
        <v>1404</v>
      </c>
      <c r="F67">
        <v>1388</v>
      </c>
      <c r="G67">
        <v>1337</v>
      </c>
      <c r="H67">
        <v>67</v>
      </c>
    </row>
    <row r="68" spans="1:8">
      <c r="A68" t="s">
        <v>34</v>
      </c>
      <c r="B68" t="s">
        <v>225</v>
      </c>
      <c r="C68" t="s">
        <v>226</v>
      </c>
      <c r="D68" t="s">
        <v>227</v>
      </c>
      <c r="E68">
        <v>2393</v>
      </c>
      <c r="F68">
        <v>2383</v>
      </c>
      <c r="G68">
        <v>2148</v>
      </c>
      <c r="H68">
        <v>245</v>
      </c>
    </row>
    <row r="69" spans="1:8">
      <c r="A69" t="s">
        <v>34</v>
      </c>
      <c r="B69" t="s">
        <v>228</v>
      </c>
      <c r="C69" t="s">
        <v>229</v>
      </c>
      <c r="D69" t="s">
        <v>230</v>
      </c>
      <c r="E69">
        <v>3414</v>
      </c>
      <c r="F69">
        <v>3323</v>
      </c>
      <c r="G69">
        <v>3195</v>
      </c>
      <c r="H69">
        <v>219</v>
      </c>
    </row>
    <row r="70" spans="1:8">
      <c r="A70" t="s">
        <v>34</v>
      </c>
      <c r="B70" t="s">
        <v>231</v>
      </c>
      <c r="C70" t="s">
        <v>232</v>
      </c>
      <c r="D70" t="s">
        <v>233</v>
      </c>
      <c r="E70">
        <v>5870</v>
      </c>
      <c r="F70">
        <v>5843</v>
      </c>
      <c r="G70">
        <v>5563</v>
      </c>
      <c r="H70">
        <v>307</v>
      </c>
    </row>
    <row r="71" spans="1:8">
      <c r="A71" t="s">
        <v>34</v>
      </c>
      <c r="B71" t="s">
        <v>234</v>
      </c>
      <c r="C71" t="s">
        <v>235</v>
      </c>
      <c r="D71" t="s">
        <v>236</v>
      </c>
      <c r="E71">
        <v>3642</v>
      </c>
      <c r="F71">
        <v>3577</v>
      </c>
      <c r="G71">
        <v>3458</v>
      </c>
      <c r="H71">
        <v>184</v>
      </c>
    </row>
    <row r="72" spans="1:8">
      <c r="A72" t="s">
        <v>34</v>
      </c>
      <c r="B72" t="s">
        <v>237</v>
      </c>
      <c r="C72" t="s">
        <v>238</v>
      </c>
      <c r="D72" t="s">
        <v>239</v>
      </c>
      <c r="E72">
        <v>2029</v>
      </c>
      <c r="F72">
        <v>1988</v>
      </c>
      <c r="G72">
        <v>1925</v>
      </c>
      <c r="H72">
        <v>104</v>
      </c>
    </row>
    <row r="73" spans="1:8">
      <c r="A73" t="s">
        <v>34</v>
      </c>
      <c r="B73" t="s">
        <v>240</v>
      </c>
      <c r="C73" t="s">
        <v>241</v>
      </c>
      <c r="D73" t="s">
        <v>242</v>
      </c>
      <c r="E73">
        <v>4932</v>
      </c>
      <c r="F73">
        <v>4874</v>
      </c>
      <c r="G73">
        <v>4747</v>
      </c>
      <c r="H73">
        <v>185</v>
      </c>
    </row>
    <row r="74" spans="1:8">
      <c r="A74" t="s">
        <v>34</v>
      </c>
      <c r="B74" t="s">
        <v>243</v>
      </c>
      <c r="C74" t="s">
        <v>244</v>
      </c>
      <c r="D74" t="s">
        <v>245</v>
      </c>
      <c r="E74">
        <v>1496</v>
      </c>
      <c r="F74">
        <v>1448</v>
      </c>
      <c r="G74">
        <v>1408</v>
      </c>
      <c r="H74">
        <v>88</v>
      </c>
    </row>
    <row r="75" spans="1:8">
      <c r="A75" t="s">
        <v>34</v>
      </c>
      <c r="B75" t="s">
        <v>246</v>
      </c>
      <c r="C75" t="s">
        <v>247</v>
      </c>
      <c r="D75" t="s">
        <v>248</v>
      </c>
      <c r="E75">
        <v>3116</v>
      </c>
      <c r="F75">
        <v>3076</v>
      </c>
      <c r="G75">
        <v>2940</v>
      </c>
      <c r="H75">
        <v>176</v>
      </c>
    </row>
    <row r="76" spans="1:8">
      <c r="A76" t="s">
        <v>34</v>
      </c>
      <c r="B76" t="s">
        <v>249</v>
      </c>
      <c r="C76" t="s">
        <v>250</v>
      </c>
      <c r="D76" t="s">
        <v>251</v>
      </c>
      <c r="E76">
        <v>1782</v>
      </c>
      <c r="F76">
        <v>1651</v>
      </c>
      <c r="G76">
        <v>1615</v>
      </c>
      <c r="H76">
        <v>167</v>
      </c>
    </row>
    <row r="77" spans="1:8">
      <c r="A77" t="s">
        <v>34</v>
      </c>
      <c r="B77" t="s">
        <v>252</v>
      </c>
      <c r="C77" t="s">
        <v>253</v>
      </c>
      <c r="D77" t="s">
        <v>254</v>
      </c>
      <c r="E77">
        <v>2703</v>
      </c>
      <c r="F77">
        <v>2689</v>
      </c>
      <c r="G77">
        <v>2615</v>
      </c>
      <c r="H77">
        <v>88</v>
      </c>
    </row>
    <row r="78" spans="1:8">
      <c r="A78" t="s">
        <v>34</v>
      </c>
      <c r="B78" t="s">
        <v>255</v>
      </c>
      <c r="C78" t="s">
        <v>256</v>
      </c>
      <c r="D78" t="s">
        <v>257</v>
      </c>
      <c r="E78">
        <v>2778</v>
      </c>
      <c r="F78">
        <v>2719</v>
      </c>
      <c r="G78">
        <v>2645</v>
      </c>
      <c r="H78">
        <v>133</v>
      </c>
    </row>
    <row r="79" spans="1:8">
      <c r="A79" t="s">
        <v>34</v>
      </c>
      <c r="B79" t="s">
        <v>258</v>
      </c>
      <c r="C79" t="s">
        <v>259</v>
      </c>
      <c r="D79" t="s">
        <v>260</v>
      </c>
      <c r="E79">
        <v>2427</v>
      </c>
      <c r="F79">
        <v>2332</v>
      </c>
      <c r="G79">
        <v>2234</v>
      </c>
      <c r="H79">
        <v>193</v>
      </c>
    </row>
    <row r="80" spans="1:8">
      <c r="A80" t="s">
        <v>34</v>
      </c>
      <c r="B80" t="s">
        <v>261</v>
      </c>
      <c r="C80" t="s">
        <v>262</v>
      </c>
      <c r="D80" t="s">
        <v>263</v>
      </c>
      <c r="E80">
        <v>3172</v>
      </c>
      <c r="F80">
        <v>3084</v>
      </c>
      <c r="G80">
        <v>3024</v>
      </c>
      <c r="H80">
        <v>148</v>
      </c>
    </row>
    <row r="81" spans="1:8">
      <c r="A81" t="s">
        <v>34</v>
      </c>
      <c r="B81" t="s">
        <v>264</v>
      </c>
      <c r="C81" t="s">
        <v>265</v>
      </c>
      <c r="D81" t="s">
        <v>266</v>
      </c>
      <c r="E81">
        <v>3110</v>
      </c>
      <c r="F81">
        <v>3078</v>
      </c>
      <c r="G81">
        <v>3033</v>
      </c>
      <c r="H81">
        <v>77</v>
      </c>
    </row>
    <row r="82" spans="1:8">
      <c r="A82" t="s">
        <v>34</v>
      </c>
      <c r="B82" t="s">
        <v>267</v>
      </c>
      <c r="C82" t="s">
        <v>268</v>
      </c>
      <c r="D82" t="s">
        <v>269</v>
      </c>
      <c r="E82">
        <v>3375</v>
      </c>
      <c r="F82">
        <v>3331</v>
      </c>
      <c r="G82">
        <v>3234</v>
      </c>
      <c r="H82">
        <v>141</v>
      </c>
    </row>
    <row r="83" spans="1:8">
      <c r="A83" t="s">
        <v>34</v>
      </c>
      <c r="B83" t="s">
        <v>270</v>
      </c>
      <c r="C83" t="s">
        <v>271</v>
      </c>
      <c r="D83" t="s">
        <v>272</v>
      </c>
      <c r="E83">
        <v>641</v>
      </c>
      <c r="F83">
        <v>623</v>
      </c>
      <c r="G83">
        <v>614</v>
      </c>
      <c r="H83">
        <v>27</v>
      </c>
    </row>
    <row r="84" spans="1:8">
      <c r="A84" t="s">
        <v>34</v>
      </c>
      <c r="B84" t="s">
        <v>273</v>
      </c>
      <c r="C84" t="s">
        <v>274</v>
      </c>
      <c r="D84" t="s">
        <v>275</v>
      </c>
      <c r="E84">
        <v>1493</v>
      </c>
      <c r="F84">
        <v>1438</v>
      </c>
      <c r="G84">
        <v>1398</v>
      </c>
      <c r="H84">
        <v>95</v>
      </c>
    </row>
    <row r="85" spans="1:8">
      <c r="A85" t="s">
        <v>34</v>
      </c>
      <c r="B85" t="s">
        <v>276</v>
      </c>
      <c r="C85" t="s">
        <v>277</v>
      </c>
      <c r="D85" t="s">
        <v>278</v>
      </c>
      <c r="E85">
        <v>1244</v>
      </c>
      <c r="F85">
        <v>1200</v>
      </c>
      <c r="G85">
        <v>1151</v>
      </c>
      <c r="H85">
        <v>93</v>
      </c>
    </row>
    <row r="86" spans="1:8">
      <c r="A86" t="s">
        <v>34</v>
      </c>
      <c r="B86" t="s">
        <v>279</v>
      </c>
      <c r="C86" t="s">
        <v>280</v>
      </c>
      <c r="D86" t="s">
        <v>281</v>
      </c>
      <c r="E86">
        <v>452</v>
      </c>
      <c r="F86">
        <v>451</v>
      </c>
      <c r="G86">
        <v>145</v>
      </c>
      <c r="H86">
        <v>307</v>
      </c>
    </row>
    <row r="87" spans="1:8">
      <c r="A87" t="s">
        <v>34</v>
      </c>
      <c r="B87" t="s">
        <v>282</v>
      </c>
      <c r="C87" t="s">
        <v>283</v>
      </c>
      <c r="D87" t="s">
        <v>284</v>
      </c>
      <c r="E87">
        <v>548</v>
      </c>
      <c r="F87">
        <v>499</v>
      </c>
      <c r="G87">
        <v>382</v>
      </c>
      <c r="H87">
        <v>166</v>
      </c>
    </row>
    <row r="88" spans="1:8">
      <c r="A88" t="s">
        <v>34</v>
      </c>
      <c r="B88" t="s">
        <v>285</v>
      </c>
      <c r="C88" t="s">
        <v>286</v>
      </c>
      <c r="D88" t="s">
        <v>287</v>
      </c>
      <c r="E88">
        <v>1617</v>
      </c>
      <c r="F88">
        <v>1603</v>
      </c>
      <c r="G88">
        <v>1569</v>
      </c>
      <c r="H88">
        <v>48</v>
      </c>
    </row>
    <row r="89" spans="1:8">
      <c r="A89" t="s">
        <v>34</v>
      </c>
      <c r="B89" t="s">
        <v>288</v>
      </c>
      <c r="C89" t="s">
        <v>289</v>
      </c>
      <c r="D89" t="s">
        <v>290</v>
      </c>
      <c r="E89">
        <v>1713</v>
      </c>
      <c r="F89">
        <v>1675</v>
      </c>
      <c r="G89">
        <v>1598</v>
      </c>
      <c r="H89">
        <v>115</v>
      </c>
    </row>
    <row r="90" spans="1:8">
      <c r="A90" t="s">
        <v>34</v>
      </c>
      <c r="B90" t="s">
        <v>291</v>
      </c>
      <c r="C90" t="s">
        <v>292</v>
      </c>
      <c r="D90" t="s">
        <v>293</v>
      </c>
      <c r="E90">
        <v>1615</v>
      </c>
      <c r="F90">
        <v>1557</v>
      </c>
      <c r="G90">
        <v>1479</v>
      </c>
      <c r="H90">
        <v>136</v>
      </c>
    </row>
    <row r="91" spans="1:8">
      <c r="A91" t="s">
        <v>34</v>
      </c>
      <c r="B91" t="s">
        <v>294</v>
      </c>
      <c r="C91" t="s">
        <v>295</v>
      </c>
      <c r="D91" t="s">
        <v>296</v>
      </c>
      <c r="E91">
        <v>893</v>
      </c>
      <c r="F91">
        <v>853</v>
      </c>
      <c r="G91">
        <v>828</v>
      </c>
      <c r="H91">
        <v>65</v>
      </c>
    </row>
    <row r="92" spans="1:8">
      <c r="A92" t="s">
        <v>34</v>
      </c>
      <c r="B92" t="s">
        <v>297</v>
      </c>
      <c r="C92" t="s">
        <v>298</v>
      </c>
      <c r="D92" t="s">
        <v>299</v>
      </c>
      <c r="E92">
        <v>1995</v>
      </c>
      <c r="F92">
        <v>1908</v>
      </c>
      <c r="G92">
        <v>1848</v>
      </c>
      <c r="H92">
        <v>147</v>
      </c>
    </row>
    <row r="93" spans="1:8">
      <c r="A93" t="s">
        <v>34</v>
      </c>
      <c r="B93" t="s">
        <v>300</v>
      </c>
      <c r="C93" t="s">
        <v>301</v>
      </c>
      <c r="D93" t="s">
        <v>302</v>
      </c>
      <c r="E93">
        <v>2094</v>
      </c>
      <c r="F93">
        <v>1956</v>
      </c>
      <c r="G93">
        <v>1868</v>
      </c>
      <c r="H93">
        <v>226</v>
      </c>
    </row>
    <row r="94" spans="1:8">
      <c r="A94" t="s">
        <v>34</v>
      </c>
      <c r="B94" t="s">
        <v>303</v>
      </c>
      <c r="C94" t="s">
        <v>304</v>
      </c>
      <c r="D94" t="s">
        <v>305</v>
      </c>
      <c r="E94">
        <v>2027</v>
      </c>
      <c r="F94">
        <v>1884</v>
      </c>
      <c r="G94">
        <v>1806</v>
      </c>
      <c r="H94">
        <v>221</v>
      </c>
    </row>
    <row r="95" spans="1:8">
      <c r="A95" t="s">
        <v>34</v>
      </c>
      <c r="B95" t="s">
        <v>306</v>
      </c>
      <c r="C95" t="s">
        <v>307</v>
      </c>
      <c r="D95" t="s">
        <v>308</v>
      </c>
      <c r="E95">
        <v>3971</v>
      </c>
      <c r="F95">
        <v>3857</v>
      </c>
      <c r="G95">
        <v>3647</v>
      </c>
      <c r="H95">
        <v>324</v>
      </c>
    </row>
    <row r="96" spans="1:8">
      <c r="A96" t="s">
        <v>34</v>
      </c>
      <c r="B96" t="s">
        <v>309</v>
      </c>
      <c r="C96" t="s">
        <v>310</v>
      </c>
      <c r="D96" t="s">
        <v>311</v>
      </c>
      <c r="E96">
        <v>3078</v>
      </c>
      <c r="F96">
        <v>3033</v>
      </c>
      <c r="G96">
        <v>2907</v>
      </c>
      <c r="H96">
        <v>171</v>
      </c>
    </row>
    <row r="97" spans="1:8">
      <c r="A97" t="s">
        <v>34</v>
      </c>
      <c r="B97" t="s">
        <v>312</v>
      </c>
      <c r="C97" t="s">
        <v>313</v>
      </c>
      <c r="D97" t="s">
        <v>314</v>
      </c>
      <c r="E97">
        <v>1530</v>
      </c>
      <c r="F97">
        <v>1473</v>
      </c>
      <c r="G97">
        <v>1437</v>
      </c>
      <c r="H97">
        <v>93</v>
      </c>
    </row>
    <row r="98" spans="1:8">
      <c r="A98" t="s">
        <v>34</v>
      </c>
      <c r="B98" t="s">
        <v>315</v>
      </c>
      <c r="C98" t="s">
        <v>316</v>
      </c>
      <c r="D98" t="s">
        <v>317</v>
      </c>
      <c r="E98">
        <v>3389</v>
      </c>
      <c r="F98">
        <v>3228</v>
      </c>
      <c r="G98">
        <v>3094</v>
      </c>
      <c r="H98">
        <v>295</v>
      </c>
    </row>
    <row r="99" spans="1:8">
      <c r="A99" t="s">
        <v>34</v>
      </c>
      <c r="B99" t="s">
        <v>318</v>
      </c>
      <c r="C99" t="s">
        <v>319</v>
      </c>
      <c r="D99" t="s">
        <v>320</v>
      </c>
      <c r="E99">
        <v>2009</v>
      </c>
      <c r="F99">
        <v>1947</v>
      </c>
      <c r="G99">
        <v>1897</v>
      </c>
      <c r="H99">
        <v>112</v>
      </c>
    </row>
    <row r="100" spans="1:8">
      <c r="A100" t="s">
        <v>34</v>
      </c>
      <c r="B100" t="s">
        <v>321</v>
      </c>
      <c r="C100" t="s">
        <v>322</v>
      </c>
      <c r="D100" t="s">
        <v>323</v>
      </c>
      <c r="E100">
        <v>1472</v>
      </c>
      <c r="F100">
        <v>1393</v>
      </c>
      <c r="G100">
        <v>1368</v>
      </c>
      <c r="H100">
        <v>104</v>
      </c>
    </row>
    <row r="101" spans="1:8">
      <c r="A101" t="s">
        <v>34</v>
      </c>
      <c r="B101" t="s">
        <v>324</v>
      </c>
      <c r="C101" t="s">
        <v>325</v>
      </c>
      <c r="D101" t="s">
        <v>326</v>
      </c>
      <c r="E101">
        <v>1406</v>
      </c>
      <c r="F101">
        <v>1341</v>
      </c>
      <c r="G101">
        <v>1283</v>
      </c>
      <c r="H101">
        <v>123</v>
      </c>
    </row>
    <row r="102" spans="1:8">
      <c r="A102" t="s">
        <v>34</v>
      </c>
      <c r="B102" t="s">
        <v>327</v>
      </c>
      <c r="C102" t="s">
        <v>328</v>
      </c>
      <c r="D102" t="s">
        <v>329</v>
      </c>
      <c r="E102">
        <v>1256</v>
      </c>
      <c r="F102">
        <v>1221</v>
      </c>
      <c r="G102">
        <v>1155</v>
      </c>
      <c r="H102">
        <v>101</v>
      </c>
    </row>
    <row r="103" spans="1:8">
      <c r="A103" t="s">
        <v>34</v>
      </c>
      <c r="B103" t="s">
        <v>330</v>
      </c>
      <c r="C103" t="s">
        <v>331</v>
      </c>
      <c r="D103" t="s">
        <v>332</v>
      </c>
      <c r="E103">
        <v>1209</v>
      </c>
      <c r="F103">
        <v>1154</v>
      </c>
      <c r="G103">
        <v>1131</v>
      </c>
      <c r="H103">
        <v>78</v>
      </c>
    </row>
    <row r="104" spans="1:8">
      <c r="A104" t="s">
        <v>34</v>
      </c>
      <c r="B104" t="s">
        <v>333</v>
      </c>
      <c r="C104" t="s">
        <v>334</v>
      </c>
      <c r="D104" t="s">
        <v>335</v>
      </c>
      <c r="E104">
        <v>2186</v>
      </c>
      <c r="F104">
        <v>2095</v>
      </c>
      <c r="G104">
        <v>2004</v>
      </c>
      <c r="H104">
        <v>182</v>
      </c>
    </row>
    <row r="105" spans="1:8">
      <c r="A105" t="s">
        <v>34</v>
      </c>
      <c r="B105" t="s">
        <v>336</v>
      </c>
      <c r="C105" t="s">
        <v>337</v>
      </c>
      <c r="D105" t="s">
        <v>338</v>
      </c>
      <c r="E105">
        <v>1366</v>
      </c>
      <c r="F105">
        <v>1274</v>
      </c>
      <c r="G105">
        <v>1219</v>
      </c>
      <c r="H105">
        <v>147</v>
      </c>
    </row>
    <row r="106" spans="1:8">
      <c r="A106" t="s">
        <v>34</v>
      </c>
      <c r="B106" t="s">
        <v>339</v>
      </c>
      <c r="C106" t="s">
        <v>340</v>
      </c>
      <c r="D106" t="s">
        <v>341</v>
      </c>
      <c r="E106">
        <v>2667</v>
      </c>
      <c r="F106">
        <v>2572</v>
      </c>
      <c r="G106">
        <v>2467</v>
      </c>
      <c r="H106">
        <v>200</v>
      </c>
    </row>
    <row r="107" spans="1:8">
      <c r="A107" t="s">
        <v>34</v>
      </c>
      <c r="B107" t="s">
        <v>342</v>
      </c>
      <c r="C107" t="s">
        <v>343</v>
      </c>
      <c r="D107" t="s">
        <v>344</v>
      </c>
      <c r="E107">
        <v>2578</v>
      </c>
      <c r="F107">
        <v>2491</v>
      </c>
      <c r="G107">
        <v>2399</v>
      </c>
      <c r="H107">
        <v>179</v>
      </c>
    </row>
    <row r="108" spans="1:8">
      <c r="A108" t="s">
        <v>34</v>
      </c>
      <c r="B108" t="s">
        <v>345</v>
      </c>
      <c r="C108" t="s">
        <v>346</v>
      </c>
      <c r="D108" t="s">
        <v>347</v>
      </c>
      <c r="E108">
        <v>2510</v>
      </c>
      <c r="F108">
        <v>2400</v>
      </c>
      <c r="G108">
        <v>2190</v>
      </c>
      <c r="H108">
        <v>320</v>
      </c>
    </row>
    <row r="109" spans="1:8">
      <c r="A109" t="s">
        <v>34</v>
      </c>
      <c r="B109" t="s">
        <v>348</v>
      </c>
      <c r="C109" t="s">
        <v>349</v>
      </c>
      <c r="D109" t="s">
        <v>350</v>
      </c>
      <c r="E109">
        <v>2267</v>
      </c>
      <c r="F109">
        <v>2215</v>
      </c>
      <c r="G109">
        <v>2189</v>
      </c>
      <c r="H109">
        <v>78</v>
      </c>
    </row>
    <row r="110" spans="1:8">
      <c r="A110" t="s">
        <v>34</v>
      </c>
      <c r="B110" t="s">
        <v>351</v>
      </c>
      <c r="C110" t="s">
        <v>352</v>
      </c>
      <c r="D110" t="s">
        <v>353</v>
      </c>
      <c r="E110">
        <v>1568</v>
      </c>
      <c r="F110">
        <v>1514</v>
      </c>
      <c r="G110">
        <v>1478</v>
      </c>
      <c r="H110">
        <v>90</v>
      </c>
    </row>
    <row r="111" spans="1:8">
      <c r="A111" t="s">
        <v>34</v>
      </c>
      <c r="B111" t="s">
        <v>354</v>
      </c>
      <c r="C111" t="s">
        <v>355</v>
      </c>
      <c r="D111" t="s">
        <v>356</v>
      </c>
      <c r="E111">
        <v>1353</v>
      </c>
      <c r="F111">
        <v>1297</v>
      </c>
      <c r="G111">
        <v>1262</v>
      </c>
      <c r="H111">
        <v>91</v>
      </c>
    </row>
    <row r="112" spans="1:8">
      <c r="A112" t="s">
        <v>34</v>
      </c>
      <c r="B112" t="s">
        <v>357</v>
      </c>
      <c r="C112" t="s">
        <v>358</v>
      </c>
      <c r="D112" t="s">
        <v>359</v>
      </c>
      <c r="E112">
        <v>1943</v>
      </c>
      <c r="F112">
        <v>1872</v>
      </c>
      <c r="G112">
        <v>1797</v>
      </c>
      <c r="H112">
        <v>146</v>
      </c>
    </row>
    <row r="113" spans="1:8">
      <c r="A113" t="s">
        <v>34</v>
      </c>
      <c r="B113" t="s">
        <v>360</v>
      </c>
      <c r="C113" t="s">
        <v>361</v>
      </c>
      <c r="D113" t="s">
        <v>362</v>
      </c>
      <c r="E113">
        <v>1570</v>
      </c>
      <c r="F113">
        <v>1447</v>
      </c>
      <c r="G113">
        <v>1357</v>
      </c>
      <c r="H113">
        <v>213</v>
      </c>
    </row>
    <row r="114" spans="1:8">
      <c r="A114" t="s">
        <v>34</v>
      </c>
      <c r="B114" t="s">
        <v>363</v>
      </c>
      <c r="C114" t="s">
        <v>364</v>
      </c>
      <c r="D114" t="s">
        <v>365</v>
      </c>
      <c r="E114">
        <v>1328</v>
      </c>
      <c r="F114">
        <v>1307</v>
      </c>
      <c r="G114">
        <v>1285</v>
      </c>
      <c r="H114">
        <v>43</v>
      </c>
    </row>
    <row r="115" spans="1:8">
      <c r="A115" t="s">
        <v>34</v>
      </c>
      <c r="B115" t="s">
        <v>366</v>
      </c>
      <c r="C115" t="s">
        <v>367</v>
      </c>
      <c r="D115" t="s">
        <v>368</v>
      </c>
      <c r="E115">
        <v>742</v>
      </c>
      <c r="F115">
        <v>714</v>
      </c>
      <c r="G115">
        <v>697</v>
      </c>
      <c r="H115">
        <v>45</v>
      </c>
    </row>
    <row r="116" spans="1:8">
      <c r="A116" t="s">
        <v>34</v>
      </c>
      <c r="B116" t="s">
        <v>369</v>
      </c>
      <c r="C116" t="s">
        <v>370</v>
      </c>
      <c r="D116" t="s">
        <v>371</v>
      </c>
      <c r="E116">
        <v>3131</v>
      </c>
      <c r="F116">
        <v>3039</v>
      </c>
      <c r="G116">
        <v>2863</v>
      </c>
      <c r="H116">
        <v>268</v>
      </c>
    </row>
    <row r="117" spans="1:8">
      <c r="A117" t="s">
        <v>34</v>
      </c>
      <c r="B117" t="s">
        <v>372</v>
      </c>
      <c r="C117" t="s">
        <v>373</v>
      </c>
      <c r="D117" t="s">
        <v>374</v>
      </c>
      <c r="E117">
        <v>1404</v>
      </c>
      <c r="F117">
        <v>1368</v>
      </c>
      <c r="G117">
        <v>1324</v>
      </c>
      <c r="H117">
        <v>80</v>
      </c>
    </row>
    <row r="118" spans="1:8">
      <c r="A118" t="s">
        <v>34</v>
      </c>
      <c r="B118" t="s">
        <v>375</v>
      </c>
      <c r="C118" t="s">
        <v>376</v>
      </c>
      <c r="D118" t="s">
        <v>377</v>
      </c>
      <c r="E118">
        <v>2170</v>
      </c>
      <c r="F118">
        <v>2091</v>
      </c>
      <c r="G118">
        <v>2010</v>
      </c>
      <c r="H118">
        <v>160</v>
      </c>
    </row>
    <row r="119" spans="1:8">
      <c r="A119" t="s">
        <v>34</v>
      </c>
      <c r="B119" t="s">
        <v>378</v>
      </c>
      <c r="C119" t="s">
        <v>379</v>
      </c>
      <c r="D119" t="s">
        <v>380</v>
      </c>
      <c r="E119">
        <v>1108</v>
      </c>
      <c r="F119">
        <v>1000</v>
      </c>
      <c r="G119">
        <v>938</v>
      </c>
      <c r="H119">
        <v>170</v>
      </c>
    </row>
    <row r="120" spans="1:8">
      <c r="A120" t="s">
        <v>34</v>
      </c>
      <c r="B120" t="s">
        <v>381</v>
      </c>
      <c r="C120" t="s">
        <v>382</v>
      </c>
      <c r="D120" t="s">
        <v>383</v>
      </c>
      <c r="E120">
        <v>2548</v>
      </c>
      <c r="F120">
        <v>2470</v>
      </c>
      <c r="G120">
        <v>2418</v>
      </c>
      <c r="H120">
        <v>130</v>
      </c>
    </row>
    <row r="121" spans="1:8">
      <c r="A121" t="s">
        <v>34</v>
      </c>
      <c r="B121" t="s">
        <v>384</v>
      </c>
      <c r="C121" t="s">
        <v>385</v>
      </c>
      <c r="D121" t="s">
        <v>386</v>
      </c>
      <c r="E121">
        <v>2674</v>
      </c>
      <c r="F121">
        <v>2638</v>
      </c>
      <c r="G121">
        <v>2571</v>
      </c>
      <c r="H121">
        <v>103</v>
      </c>
    </row>
    <row r="122" spans="1:8">
      <c r="A122" t="s">
        <v>34</v>
      </c>
      <c r="B122" t="s">
        <v>387</v>
      </c>
      <c r="C122" t="s">
        <v>388</v>
      </c>
      <c r="D122" t="s">
        <v>389</v>
      </c>
      <c r="E122">
        <v>2089</v>
      </c>
      <c r="F122">
        <v>2021</v>
      </c>
      <c r="G122">
        <v>1912</v>
      </c>
      <c r="H122">
        <v>177</v>
      </c>
    </row>
    <row r="123" spans="1:8">
      <c r="A123" t="s">
        <v>34</v>
      </c>
      <c r="B123" t="s">
        <v>390</v>
      </c>
      <c r="C123" t="s">
        <v>391</v>
      </c>
      <c r="D123" t="s">
        <v>392</v>
      </c>
      <c r="E123">
        <v>1770</v>
      </c>
      <c r="F123">
        <v>1744</v>
      </c>
      <c r="G123">
        <v>1705</v>
      </c>
      <c r="H123">
        <v>65</v>
      </c>
    </row>
    <row r="124" spans="1:8">
      <c r="A124" t="s">
        <v>34</v>
      </c>
      <c r="B124" t="s">
        <v>393</v>
      </c>
      <c r="C124" t="s">
        <v>394</v>
      </c>
      <c r="D124" t="s">
        <v>395</v>
      </c>
      <c r="E124">
        <v>2834</v>
      </c>
      <c r="F124">
        <v>2739</v>
      </c>
      <c r="G124">
        <v>2665</v>
      </c>
      <c r="H124">
        <v>169</v>
      </c>
    </row>
    <row r="125" spans="1:8">
      <c r="A125" t="s">
        <v>34</v>
      </c>
      <c r="B125" t="s">
        <v>396</v>
      </c>
      <c r="C125" t="s">
        <v>397</v>
      </c>
      <c r="D125" t="s">
        <v>398</v>
      </c>
      <c r="E125">
        <v>1962</v>
      </c>
      <c r="F125">
        <v>1888</v>
      </c>
      <c r="G125">
        <v>1797</v>
      </c>
      <c r="H125">
        <v>165</v>
      </c>
    </row>
    <row r="126" spans="1:8">
      <c r="A126" t="s">
        <v>34</v>
      </c>
      <c r="B126" t="s">
        <v>399</v>
      </c>
      <c r="C126" t="s">
        <v>400</v>
      </c>
      <c r="D126" t="s">
        <v>401</v>
      </c>
      <c r="E126">
        <v>791</v>
      </c>
      <c r="F126">
        <v>703</v>
      </c>
      <c r="G126">
        <v>678</v>
      </c>
      <c r="H126">
        <v>113</v>
      </c>
    </row>
    <row r="127" spans="1:8">
      <c r="A127" t="s">
        <v>34</v>
      </c>
      <c r="B127" t="s">
        <v>402</v>
      </c>
      <c r="C127" t="s">
        <v>403</v>
      </c>
      <c r="D127" t="s">
        <v>404</v>
      </c>
      <c r="E127">
        <v>2793</v>
      </c>
      <c r="F127">
        <v>2729</v>
      </c>
      <c r="G127">
        <v>2655</v>
      </c>
      <c r="H127">
        <v>138</v>
      </c>
    </row>
    <row r="128" spans="1:8">
      <c r="A128" t="s">
        <v>34</v>
      </c>
      <c r="B128" t="s">
        <v>405</v>
      </c>
      <c r="C128" t="s">
        <v>406</v>
      </c>
      <c r="D128" t="s">
        <v>407</v>
      </c>
      <c r="E128">
        <v>4727</v>
      </c>
      <c r="F128">
        <v>4698</v>
      </c>
      <c r="G128">
        <v>4562</v>
      </c>
      <c r="H128">
        <v>165</v>
      </c>
    </row>
    <row r="129" spans="1:8">
      <c r="A129" t="s">
        <v>34</v>
      </c>
      <c r="B129" t="s">
        <v>408</v>
      </c>
      <c r="C129" t="s">
        <v>409</v>
      </c>
      <c r="D129" t="s">
        <v>410</v>
      </c>
      <c r="E129">
        <v>1487</v>
      </c>
      <c r="F129">
        <v>1480</v>
      </c>
      <c r="G129">
        <v>1423</v>
      </c>
      <c r="H129">
        <v>64</v>
      </c>
    </row>
    <row r="130" spans="1:8">
      <c r="A130" t="s">
        <v>34</v>
      </c>
      <c r="B130" t="s">
        <v>411</v>
      </c>
      <c r="C130" t="s">
        <v>412</v>
      </c>
      <c r="D130" t="s">
        <v>413</v>
      </c>
      <c r="E130">
        <v>1201</v>
      </c>
      <c r="F130">
        <v>1126</v>
      </c>
      <c r="G130">
        <v>1109</v>
      </c>
      <c r="H130">
        <v>92</v>
      </c>
    </row>
    <row r="131" spans="1:8">
      <c r="A131" t="s">
        <v>34</v>
      </c>
      <c r="B131" t="s">
        <v>414</v>
      </c>
      <c r="C131" t="s">
        <v>415</v>
      </c>
      <c r="D131" t="s">
        <v>416</v>
      </c>
      <c r="E131">
        <v>911</v>
      </c>
      <c r="F131">
        <v>809</v>
      </c>
      <c r="G131">
        <v>770</v>
      </c>
      <c r="H131">
        <v>141</v>
      </c>
    </row>
    <row r="132" spans="1:8">
      <c r="A132" t="s">
        <v>34</v>
      </c>
      <c r="B132" t="s">
        <v>417</v>
      </c>
      <c r="C132" t="s">
        <v>418</v>
      </c>
      <c r="D132" t="s">
        <v>419</v>
      </c>
      <c r="E132">
        <v>705</v>
      </c>
      <c r="F132">
        <v>650</v>
      </c>
      <c r="G132">
        <v>622</v>
      </c>
      <c r="H132">
        <v>83</v>
      </c>
    </row>
    <row r="133" spans="1:8">
      <c r="A133" t="s">
        <v>34</v>
      </c>
      <c r="B133" t="s">
        <v>420</v>
      </c>
      <c r="C133" t="s">
        <v>421</v>
      </c>
      <c r="D133" t="s">
        <v>422</v>
      </c>
      <c r="E133">
        <v>883</v>
      </c>
      <c r="F133">
        <v>825</v>
      </c>
      <c r="G133">
        <v>780</v>
      </c>
      <c r="H133">
        <v>103</v>
      </c>
    </row>
    <row r="134" spans="1:8">
      <c r="A134" t="s">
        <v>34</v>
      </c>
      <c r="B134" t="s">
        <v>423</v>
      </c>
      <c r="C134" t="s">
        <v>424</v>
      </c>
      <c r="D134" t="s">
        <v>425</v>
      </c>
      <c r="E134">
        <v>757</v>
      </c>
      <c r="F134">
        <v>697</v>
      </c>
      <c r="G134">
        <v>680</v>
      </c>
      <c r="H134">
        <v>77</v>
      </c>
    </row>
    <row r="135" spans="1:8">
      <c r="A135" t="s">
        <v>34</v>
      </c>
      <c r="B135" t="s">
        <v>426</v>
      </c>
      <c r="C135" t="s">
        <v>427</v>
      </c>
      <c r="D135" t="s">
        <v>428</v>
      </c>
      <c r="E135">
        <v>724</v>
      </c>
      <c r="F135">
        <v>658</v>
      </c>
      <c r="G135">
        <v>645</v>
      </c>
      <c r="H135">
        <v>79</v>
      </c>
    </row>
    <row r="136" spans="1:8">
      <c r="A136" t="s">
        <v>34</v>
      </c>
      <c r="B136" t="s">
        <v>429</v>
      </c>
      <c r="C136" t="s">
        <v>430</v>
      </c>
      <c r="D136" t="s">
        <v>431</v>
      </c>
      <c r="E136">
        <v>530</v>
      </c>
      <c r="F136">
        <v>509</v>
      </c>
      <c r="G136">
        <v>497</v>
      </c>
      <c r="H136">
        <v>33</v>
      </c>
    </row>
    <row r="137" spans="1:8">
      <c r="A137" t="s">
        <v>34</v>
      </c>
      <c r="B137" t="s">
        <v>432</v>
      </c>
      <c r="C137" t="s">
        <v>433</v>
      </c>
      <c r="D137" t="s">
        <v>434</v>
      </c>
      <c r="E137">
        <v>562</v>
      </c>
      <c r="F137">
        <v>542</v>
      </c>
      <c r="G137">
        <v>530</v>
      </c>
      <c r="H137">
        <v>32</v>
      </c>
    </row>
    <row r="138" spans="1:8">
      <c r="A138" t="s">
        <v>34</v>
      </c>
      <c r="B138" t="s">
        <v>435</v>
      </c>
      <c r="C138" t="s">
        <v>436</v>
      </c>
      <c r="D138" t="s">
        <v>437</v>
      </c>
      <c r="E138">
        <v>535</v>
      </c>
      <c r="F138">
        <v>486</v>
      </c>
      <c r="G138">
        <v>466</v>
      </c>
      <c r="H138">
        <v>69</v>
      </c>
    </row>
    <row r="139" spans="1:8">
      <c r="A139" t="s">
        <v>34</v>
      </c>
      <c r="B139" t="s">
        <v>438</v>
      </c>
      <c r="C139" t="s">
        <v>439</v>
      </c>
      <c r="D139" t="s">
        <v>440</v>
      </c>
      <c r="E139">
        <v>430</v>
      </c>
      <c r="F139">
        <v>397</v>
      </c>
      <c r="G139">
        <v>387</v>
      </c>
      <c r="H139">
        <v>43</v>
      </c>
    </row>
    <row r="140" spans="1:8">
      <c r="A140" t="s">
        <v>34</v>
      </c>
      <c r="B140" t="s">
        <v>441</v>
      </c>
      <c r="C140" t="s">
        <v>442</v>
      </c>
      <c r="D140" t="s">
        <v>443</v>
      </c>
      <c r="E140">
        <v>361</v>
      </c>
      <c r="F140">
        <v>339</v>
      </c>
      <c r="G140">
        <v>335</v>
      </c>
      <c r="H140">
        <v>26</v>
      </c>
    </row>
    <row r="141" spans="1:8">
      <c r="A141" t="s">
        <v>34</v>
      </c>
      <c r="B141" t="s">
        <v>444</v>
      </c>
      <c r="C141" t="s">
        <v>445</v>
      </c>
      <c r="D141" t="s">
        <v>446</v>
      </c>
      <c r="E141">
        <v>579</v>
      </c>
      <c r="F141">
        <v>550</v>
      </c>
      <c r="G141">
        <v>544</v>
      </c>
      <c r="H141">
        <v>35</v>
      </c>
    </row>
    <row r="142" spans="1:8">
      <c r="A142" t="s">
        <v>34</v>
      </c>
      <c r="B142" t="s">
        <v>447</v>
      </c>
      <c r="C142" t="s">
        <v>448</v>
      </c>
      <c r="D142" t="s">
        <v>449</v>
      </c>
      <c r="E142">
        <v>3426</v>
      </c>
      <c r="F142">
        <v>2443</v>
      </c>
      <c r="G142">
        <v>1499</v>
      </c>
      <c r="H142">
        <v>1927</v>
      </c>
    </row>
    <row r="143" spans="1:8">
      <c r="A143" t="s">
        <v>34</v>
      </c>
      <c r="B143" t="s">
        <v>450</v>
      </c>
      <c r="C143" t="s">
        <v>451</v>
      </c>
      <c r="D143" t="s">
        <v>452</v>
      </c>
      <c r="E143">
        <v>1947</v>
      </c>
      <c r="F143">
        <v>1528</v>
      </c>
      <c r="G143">
        <v>710</v>
      </c>
      <c r="H143">
        <v>1237</v>
      </c>
    </row>
    <row r="144" spans="1:8">
      <c r="A144" t="s">
        <v>34</v>
      </c>
      <c r="B144" t="s">
        <v>453</v>
      </c>
      <c r="C144" t="s">
        <v>454</v>
      </c>
      <c r="D144" t="s">
        <v>455</v>
      </c>
      <c r="E144">
        <v>1658</v>
      </c>
      <c r="F144">
        <v>1391</v>
      </c>
      <c r="G144">
        <v>1083</v>
      </c>
      <c r="H144">
        <v>575</v>
      </c>
    </row>
    <row r="145" spans="1:8">
      <c r="A145" t="s">
        <v>34</v>
      </c>
      <c r="B145" t="s">
        <v>456</v>
      </c>
      <c r="C145" t="s">
        <v>457</v>
      </c>
      <c r="D145" t="s">
        <v>458</v>
      </c>
      <c r="E145">
        <v>13818</v>
      </c>
      <c r="F145">
        <v>13797</v>
      </c>
      <c r="G145">
        <v>13225</v>
      </c>
      <c r="H145">
        <v>593</v>
      </c>
    </row>
    <row r="146" spans="1:8">
      <c r="A146" t="s">
        <v>34</v>
      </c>
      <c r="B146" t="s">
        <v>459</v>
      </c>
      <c r="C146" t="s">
        <v>460</v>
      </c>
      <c r="D146" t="s">
        <v>461</v>
      </c>
      <c r="E146">
        <v>652</v>
      </c>
      <c r="F146">
        <v>652</v>
      </c>
      <c r="G146">
        <v>111</v>
      </c>
      <c r="H146">
        <v>541</v>
      </c>
    </row>
    <row r="147" spans="1:8">
      <c r="A147" t="s">
        <v>34</v>
      </c>
      <c r="B147" t="s">
        <v>462</v>
      </c>
      <c r="C147" t="s">
        <v>463</v>
      </c>
      <c r="D147" t="s">
        <v>464</v>
      </c>
      <c r="E147">
        <v>775</v>
      </c>
      <c r="F147">
        <v>775</v>
      </c>
      <c r="G147">
        <v>588</v>
      </c>
      <c r="H147">
        <v>187</v>
      </c>
    </row>
    <row r="148" spans="1:8">
      <c r="A148" t="s">
        <v>34</v>
      </c>
      <c r="B148" t="s">
        <v>465</v>
      </c>
      <c r="C148" t="s">
        <v>466</v>
      </c>
      <c r="D148" t="s">
        <v>467</v>
      </c>
      <c r="E148">
        <v>799</v>
      </c>
      <c r="F148">
        <v>770</v>
      </c>
      <c r="G148">
        <v>643</v>
      </c>
      <c r="H148">
        <v>156</v>
      </c>
    </row>
    <row r="149" spans="1:8">
      <c r="A149" t="s">
        <v>34</v>
      </c>
      <c r="B149" t="s">
        <v>468</v>
      </c>
      <c r="C149" t="s">
        <v>469</v>
      </c>
      <c r="D149" t="s">
        <v>470</v>
      </c>
      <c r="E149">
        <v>2108</v>
      </c>
      <c r="F149">
        <v>1113</v>
      </c>
      <c r="G149">
        <v>842</v>
      </c>
      <c r="H149">
        <v>1266</v>
      </c>
    </row>
    <row r="150" spans="1:8">
      <c r="A150" t="s">
        <v>34</v>
      </c>
      <c r="B150" t="s">
        <v>471</v>
      </c>
      <c r="C150" t="s">
        <v>472</v>
      </c>
      <c r="D150" t="s">
        <v>473</v>
      </c>
      <c r="E150">
        <v>3</v>
      </c>
      <c r="F150">
        <v>3</v>
      </c>
      <c r="G150">
        <v>0</v>
      </c>
      <c r="H150">
        <v>3</v>
      </c>
    </row>
    <row r="151" spans="1:8">
      <c r="A151" t="s">
        <v>34</v>
      </c>
      <c r="B151" t="s">
        <v>474</v>
      </c>
      <c r="C151" t="s">
        <v>475</v>
      </c>
      <c r="D151" t="s">
        <v>476</v>
      </c>
      <c r="E151">
        <v>6197</v>
      </c>
      <c r="F151">
        <v>4010</v>
      </c>
      <c r="G151">
        <v>3756</v>
      </c>
      <c r="H151">
        <v>2441</v>
      </c>
    </row>
    <row r="152" spans="1:8">
      <c r="A152" t="s">
        <v>34</v>
      </c>
      <c r="B152" t="s">
        <v>477</v>
      </c>
      <c r="C152" t="s">
        <v>478</v>
      </c>
      <c r="D152" t="s">
        <v>479</v>
      </c>
      <c r="E152">
        <v>8691</v>
      </c>
      <c r="F152">
        <v>5393</v>
      </c>
      <c r="G152">
        <v>5223</v>
      </c>
      <c r="H152">
        <v>3468</v>
      </c>
    </row>
    <row r="153" spans="1:8">
      <c r="A153" t="s">
        <v>34</v>
      </c>
      <c r="B153" t="s">
        <v>480</v>
      </c>
      <c r="C153" t="s">
        <v>481</v>
      </c>
      <c r="D153" t="s">
        <v>482</v>
      </c>
      <c r="E153">
        <v>228</v>
      </c>
      <c r="F153">
        <v>199</v>
      </c>
      <c r="G153">
        <v>103</v>
      </c>
      <c r="H153">
        <v>125</v>
      </c>
    </row>
    <row r="154" spans="1:8">
      <c r="A154" t="s">
        <v>34</v>
      </c>
      <c r="B154" t="s">
        <v>483</v>
      </c>
      <c r="C154" t="s">
        <v>484</v>
      </c>
      <c r="D154" t="s">
        <v>485</v>
      </c>
      <c r="E154">
        <v>4898</v>
      </c>
      <c r="F154">
        <v>3183</v>
      </c>
      <c r="G154">
        <v>2573</v>
      </c>
      <c r="H154">
        <v>2325</v>
      </c>
    </row>
    <row r="155" spans="1:8">
      <c r="A155" t="s">
        <v>34</v>
      </c>
      <c r="B155" t="s">
        <v>486</v>
      </c>
      <c r="C155" t="s">
        <v>487</v>
      </c>
      <c r="D155" t="s">
        <v>488</v>
      </c>
      <c r="E155">
        <v>70</v>
      </c>
      <c r="F155">
        <v>61</v>
      </c>
      <c r="G155">
        <v>34</v>
      </c>
      <c r="H155">
        <v>36</v>
      </c>
    </row>
    <row r="156" spans="1:8">
      <c r="A156" t="s">
        <v>34</v>
      </c>
      <c r="B156" t="s">
        <v>489</v>
      </c>
      <c r="C156" t="s">
        <v>490</v>
      </c>
      <c r="D156" t="s">
        <v>491</v>
      </c>
      <c r="E156">
        <v>6547</v>
      </c>
      <c r="F156">
        <v>6241</v>
      </c>
      <c r="G156">
        <v>4570</v>
      </c>
      <c r="H156">
        <v>1977</v>
      </c>
    </row>
    <row r="157" spans="1:8">
      <c r="A157" t="s">
        <v>34</v>
      </c>
      <c r="B157" t="s">
        <v>492</v>
      </c>
      <c r="C157" t="s">
        <v>493</v>
      </c>
      <c r="D157" t="s">
        <v>494</v>
      </c>
      <c r="E157">
        <v>3694</v>
      </c>
      <c r="F157">
        <v>3686</v>
      </c>
      <c r="G157">
        <v>869</v>
      </c>
      <c r="H157">
        <v>2825</v>
      </c>
    </row>
    <row r="158" spans="1:8">
      <c r="A158" t="s">
        <v>34</v>
      </c>
      <c r="B158" t="s">
        <v>495</v>
      </c>
      <c r="C158" t="s">
        <v>496</v>
      </c>
      <c r="D158" t="s">
        <v>497</v>
      </c>
      <c r="E158">
        <v>1493</v>
      </c>
      <c r="F158">
        <v>1493</v>
      </c>
      <c r="G158">
        <v>1416</v>
      </c>
      <c r="H158">
        <v>77</v>
      </c>
    </row>
    <row r="159" spans="1:8">
      <c r="A159" t="s">
        <v>34</v>
      </c>
      <c r="B159" t="s">
        <v>498</v>
      </c>
      <c r="C159" t="s">
        <v>499</v>
      </c>
      <c r="D159" t="s">
        <v>500</v>
      </c>
      <c r="E159">
        <v>715</v>
      </c>
      <c r="F159">
        <v>683</v>
      </c>
      <c r="G159">
        <v>610</v>
      </c>
      <c r="H159">
        <v>105</v>
      </c>
    </row>
    <row r="160" spans="1:8">
      <c r="A160" t="s">
        <v>34</v>
      </c>
      <c r="B160" t="s">
        <v>501</v>
      </c>
      <c r="C160" t="s">
        <v>502</v>
      </c>
      <c r="D160" t="s">
        <v>503</v>
      </c>
      <c r="E160">
        <v>1971</v>
      </c>
      <c r="F160">
        <v>1245</v>
      </c>
      <c r="G160">
        <v>9</v>
      </c>
      <c r="H160">
        <v>1962</v>
      </c>
    </row>
    <row r="161" spans="1:8">
      <c r="A161" t="s">
        <v>34</v>
      </c>
      <c r="B161" t="s">
        <v>504</v>
      </c>
      <c r="C161" t="s">
        <v>505</v>
      </c>
      <c r="D161" t="s">
        <v>506</v>
      </c>
      <c r="E161">
        <v>36</v>
      </c>
      <c r="F161">
        <v>34</v>
      </c>
      <c r="G161">
        <v>19</v>
      </c>
      <c r="H161">
        <v>17</v>
      </c>
    </row>
    <row r="162" spans="1:8">
      <c r="A162" t="s">
        <v>34</v>
      </c>
      <c r="B162" t="s">
        <v>507</v>
      </c>
      <c r="C162" t="s">
        <v>508</v>
      </c>
      <c r="D162" t="s">
        <v>509</v>
      </c>
      <c r="E162">
        <v>1743</v>
      </c>
      <c r="F162">
        <v>1243</v>
      </c>
      <c r="G162">
        <v>938</v>
      </c>
      <c r="H162">
        <v>805</v>
      </c>
    </row>
    <row r="163" spans="1:8">
      <c r="A163" t="s">
        <v>34</v>
      </c>
      <c r="B163" t="s">
        <v>510</v>
      </c>
      <c r="C163" t="s">
        <v>511</v>
      </c>
      <c r="D163" t="s">
        <v>512</v>
      </c>
      <c r="E163">
        <v>475</v>
      </c>
      <c r="F163">
        <v>440</v>
      </c>
      <c r="G163">
        <v>341</v>
      </c>
      <c r="H163">
        <v>134</v>
      </c>
    </row>
    <row r="164" spans="1:8">
      <c r="A164" t="s">
        <v>34</v>
      </c>
      <c r="B164" t="s">
        <v>513</v>
      </c>
      <c r="C164" t="s">
        <v>514</v>
      </c>
      <c r="D164" t="s">
        <v>515</v>
      </c>
      <c r="E164">
        <v>4238</v>
      </c>
      <c r="F164">
        <v>3356</v>
      </c>
      <c r="G164">
        <v>2056</v>
      </c>
      <c r="H164">
        <v>2182</v>
      </c>
    </row>
    <row r="165" spans="1:8">
      <c r="A165" t="s">
        <v>34</v>
      </c>
      <c r="B165" t="s">
        <v>516</v>
      </c>
      <c r="C165" t="s">
        <v>517</v>
      </c>
      <c r="D165" t="s">
        <v>518</v>
      </c>
      <c r="E165">
        <v>819</v>
      </c>
      <c r="F165">
        <v>254</v>
      </c>
      <c r="G165">
        <v>230</v>
      </c>
      <c r="H165">
        <v>589</v>
      </c>
    </row>
    <row r="166" spans="1:8">
      <c r="A166" t="s">
        <v>34</v>
      </c>
      <c r="B166" t="s">
        <v>519</v>
      </c>
      <c r="C166" t="s">
        <v>520</v>
      </c>
      <c r="D166" t="s">
        <v>521</v>
      </c>
      <c r="E166">
        <v>82</v>
      </c>
      <c r="F166">
        <v>0</v>
      </c>
      <c r="G166">
        <v>0</v>
      </c>
      <c r="H166">
        <v>82</v>
      </c>
    </row>
    <row r="167" spans="1:8">
      <c r="A167" t="s">
        <v>34</v>
      </c>
      <c r="B167" t="s">
        <v>522</v>
      </c>
      <c r="C167" t="s">
        <v>523</v>
      </c>
      <c r="D167" t="s">
        <v>524</v>
      </c>
      <c r="E167">
        <v>5476</v>
      </c>
      <c r="F167">
        <v>4687</v>
      </c>
      <c r="G167">
        <v>2917</v>
      </c>
      <c r="H167">
        <v>2559</v>
      </c>
    </row>
    <row r="168" spans="1:8">
      <c r="A168" t="s">
        <v>34</v>
      </c>
      <c r="B168" t="s">
        <v>525</v>
      </c>
      <c r="C168" t="s">
        <v>526</v>
      </c>
      <c r="D168" t="s">
        <v>527</v>
      </c>
      <c r="E168">
        <v>2892</v>
      </c>
      <c r="F168">
        <v>1342</v>
      </c>
      <c r="G168">
        <v>1235</v>
      </c>
      <c r="H168">
        <v>1657</v>
      </c>
    </row>
    <row r="169" spans="1:8">
      <c r="A169" t="s">
        <v>34</v>
      </c>
      <c r="B169" t="s">
        <v>528</v>
      </c>
      <c r="C169" t="s">
        <v>520</v>
      </c>
      <c r="D169" t="s">
        <v>521</v>
      </c>
      <c r="E169">
        <v>8929</v>
      </c>
      <c r="F169">
        <v>7692</v>
      </c>
      <c r="G169">
        <v>7400</v>
      </c>
      <c r="H169">
        <v>1529</v>
      </c>
    </row>
    <row r="170" spans="1:8">
      <c r="A170" t="s">
        <v>34</v>
      </c>
      <c r="B170" t="s">
        <v>529</v>
      </c>
      <c r="C170" t="s">
        <v>530</v>
      </c>
      <c r="D170" t="s">
        <v>531</v>
      </c>
      <c r="E170">
        <v>158</v>
      </c>
      <c r="F170">
        <v>153</v>
      </c>
      <c r="G170">
        <v>145</v>
      </c>
      <c r="H170">
        <v>13</v>
      </c>
    </row>
    <row r="171" spans="1:8">
      <c r="A171" t="s">
        <v>34</v>
      </c>
      <c r="B171" t="s">
        <v>532</v>
      </c>
      <c r="C171" t="s">
        <v>533</v>
      </c>
      <c r="D171" t="s">
        <v>534</v>
      </c>
      <c r="E171">
        <v>206</v>
      </c>
      <c r="F171">
        <v>201</v>
      </c>
      <c r="G171">
        <v>150</v>
      </c>
      <c r="H171">
        <v>56</v>
      </c>
    </row>
    <row r="172" spans="1:8">
      <c r="A172" t="s">
        <v>34</v>
      </c>
      <c r="B172" t="s">
        <v>535</v>
      </c>
      <c r="C172" t="s">
        <v>536</v>
      </c>
      <c r="D172" t="s">
        <v>537</v>
      </c>
      <c r="E172">
        <v>1122</v>
      </c>
      <c r="F172">
        <v>749</v>
      </c>
      <c r="G172">
        <v>725</v>
      </c>
      <c r="H172">
        <v>397</v>
      </c>
    </row>
    <row r="173" spans="1:8">
      <c r="A173" t="s">
        <v>34</v>
      </c>
      <c r="B173" t="s">
        <v>538</v>
      </c>
      <c r="C173" t="s">
        <v>539</v>
      </c>
      <c r="D173" t="s">
        <v>540</v>
      </c>
      <c r="E173">
        <v>3296</v>
      </c>
      <c r="F173">
        <v>2817</v>
      </c>
      <c r="G173">
        <v>1256</v>
      </c>
      <c r="H173">
        <v>2040</v>
      </c>
    </row>
    <row r="174" spans="1:8">
      <c r="A174" t="s">
        <v>34</v>
      </c>
      <c r="B174" t="s">
        <v>541</v>
      </c>
      <c r="C174" t="s">
        <v>542</v>
      </c>
      <c r="D174" t="s">
        <v>543</v>
      </c>
      <c r="E174">
        <v>147</v>
      </c>
      <c r="F174">
        <v>144</v>
      </c>
      <c r="G174">
        <v>82</v>
      </c>
      <c r="H174">
        <v>65</v>
      </c>
    </row>
    <row r="175" spans="1:8">
      <c r="A175" t="s">
        <v>34</v>
      </c>
      <c r="B175" t="s">
        <v>544</v>
      </c>
      <c r="C175" t="s">
        <v>545</v>
      </c>
      <c r="D175" t="s">
        <v>546</v>
      </c>
      <c r="E175">
        <v>33</v>
      </c>
      <c r="F175">
        <v>21</v>
      </c>
      <c r="G175">
        <v>19</v>
      </c>
      <c r="H175">
        <v>14</v>
      </c>
    </row>
    <row r="176" spans="1:8">
      <c r="A176" t="s">
        <v>34</v>
      </c>
      <c r="B176" t="s">
        <v>547</v>
      </c>
      <c r="C176" t="s">
        <v>548</v>
      </c>
      <c r="D176" t="s">
        <v>549</v>
      </c>
      <c r="E176">
        <v>1032</v>
      </c>
      <c r="F176">
        <v>835</v>
      </c>
      <c r="G176">
        <v>360</v>
      </c>
      <c r="H176">
        <v>672</v>
      </c>
    </row>
    <row r="177" spans="1:8">
      <c r="A177" t="s">
        <v>34</v>
      </c>
      <c r="B177" t="s">
        <v>550</v>
      </c>
      <c r="C177" t="s">
        <v>551</v>
      </c>
      <c r="D177" t="s">
        <v>552</v>
      </c>
      <c r="E177">
        <v>584</v>
      </c>
      <c r="F177">
        <v>578</v>
      </c>
      <c r="G177">
        <v>445</v>
      </c>
      <c r="H177">
        <v>139</v>
      </c>
    </row>
    <row r="178" spans="1:8">
      <c r="A178" t="s">
        <v>34</v>
      </c>
      <c r="B178" t="s">
        <v>553</v>
      </c>
      <c r="C178" t="s">
        <v>554</v>
      </c>
      <c r="D178" t="s">
        <v>555</v>
      </c>
      <c r="E178">
        <v>2</v>
      </c>
      <c r="F178">
        <v>2</v>
      </c>
      <c r="G178">
        <v>0</v>
      </c>
      <c r="H178">
        <v>2</v>
      </c>
    </row>
    <row r="179" spans="1:8">
      <c r="A179" t="s">
        <v>34</v>
      </c>
      <c r="B179" t="s">
        <v>556</v>
      </c>
      <c r="C179" t="s">
        <v>557</v>
      </c>
      <c r="D179" t="s">
        <v>558</v>
      </c>
      <c r="E179">
        <v>5239</v>
      </c>
      <c r="F179">
        <v>4387</v>
      </c>
      <c r="G179">
        <v>3256</v>
      </c>
      <c r="H179">
        <v>1983</v>
      </c>
    </row>
    <row r="180" spans="1:8">
      <c r="A180" t="s">
        <v>34</v>
      </c>
      <c r="B180" t="s">
        <v>559</v>
      </c>
      <c r="C180" t="s">
        <v>560</v>
      </c>
      <c r="D180" t="s">
        <v>561</v>
      </c>
      <c r="E180">
        <v>5416</v>
      </c>
      <c r="F180">
        <v>5294</v>
      </c>
      <c r="G180">
        <v>5020</v>
      </c>
      <c r="H180">
        <v>396</v>
      </c>
    </row>
    <row r="181" spans="1:8">
      <c r="A181" t="s">
        <v>34</v>
      </c>
      <c r="B181" t="s">
        <v>562</v>
      </c>
      <c r="C181" t="s">
        <v>563</v>
      </c>
      <c r="D181" t="s">
        <v>564</v>
      </c>
      <c r="E181">
        <v>4319</v>
      </c>
      <c r="F181">
        <v>4298</v>
      </c>
      <c r="G181">
        <v>3980</v>
      </c>
      <c r="H181">
        <v>339</v>
      </c>
    </row>
    <row r="182" spans="1:8">
      <c r="A182" t="s">
        <v>34</v>
      </c>
      <c r="B182" t="s">
        <v>565</v>
      </c>
      <c r="C182" t="s">
        <v>566</v>
      </c>
      <c r="D182" t="s">
        <v>567</v>
      </c>
      <c r="E182">
        <v>2285</v>
      </c>
      <c r="F182">
        <v>2276</v>
      </c>
      <c r="G182">
        <v>2256</v>
      </c>
      <c r="H182">
        <v>29</v>
      </c>
    </row>
    <row r="183" spans="1:8">
      <c r="A183" t="s">
        <v>34</v>
      </c>
      <c r="B183" t="s">
        <v>568</v>
      </c>
      <c r="C183" t="s">
        <v>569</v>
      </c>
      <c r="D183" t="s">
        <v>570</v>
      </c>
      <c r="E183">
        <v>7</v>
      </c>
      <c r="F183">
        <v>7</v>
      </c>
      <c r="G183">
        <v>0</v>
      </c>
      <c r="H183">
        <v>7</v>
      </c>
    </row>
    <row r="184" spans="1:8">
      <c r="A184" t="s">
        <v>34</v>
      </c>
      <c r="B184" t="s">
        <v>571</v>
      </c>
      <c r="C184" t="s">
        <v>572</v>
      </c>
      <c r="D184" t="s">
        <v>573</v>
      </c>
      <c r="E184">
        <v>199</v>
      </c>
      <c r="F184">
        <v>198</v>
      </c>
      <c r="G184">
        <v>183</v>
      </c>
      <c r="H184">
        <v>16</v>
      </c>
    </row>
    <row r="185" spans="1:8">
      <c r="A185" t="s">
        <v>34</v>
      </c>
      <c r="B185" t="s">
        <v>574</v>
      </c>
      <c r="C185" t="s">
        <v>575</v>
      </c>
      <c r="D185" t="s">
        <v>576</v>
      </c>
      <c r="E185">
        <v>1751</v>
      </c>
      <c r="F185">
        <v>1606</v>
      </c>
      <c r="G185">
        <v>1280</v>
      </c>
      <c r="H185">
        <v>471</v>
      </c>
    </row>
    <row r="186" spans="1:8">
      <c r="A186" t="s">
        <v>34</v>
      </c>
      <c r="B186" t="s">
        <v>577</v>
      </c>
      <c r="C186" t="s">
        <v>578</v>
      </c>
      <c r="D186" t="s">
        <v>579</v>
      </c>
      <c r="E186">
        <v>6275</v>
      </c>
      <c r="F186">
        <v>4316</v>
      </c>
      <c r="G186">
        <v>2883</v>
      </c>
      <c r="H186">
        <v>3392</v>
      </c>
    </row>
    <row r="187" spans="1:8">
      <c r="A187" t="s">
        <v>34</v>
      </c>
      <c r="B187" t="s">
        <v>580</v>
      </c>
      <c r="C187" t="s">
        <v>581</v>
      </c>
      <c r="D187" t="s">
        <v>582</v>
      </c>
      <c r="E187">
        <v>1276</v>
      </c>
      <c r="F187">
        <v>1275</v>
      </c>
      <c r="G187">
        <v>367</v>
      </c>
      <c r="H187">
        <v>909</v>
      </c>
    </row>
    <row r="188" spans="1:8">
      <c r="A188" t="s">
        <v>34</v>
      </c>
      <c r="B188" t="s">
        <v>583</v>
      </c>
      <c r="C188" t="s">
        <v>584</v>
      </c>
      <c r="D188" t="s">
        <v>585</v>
      </c>
      <c r="E188">
        <v>692</v>
      </c>
      <c r="F188">
        <v>328</v>
      </c>
      <c r="G188">
        <v>305</v>
      </c>
      <c r="H188">
        <v>387</v>
      </c>
    </row>
    <row r="189" spans="1:8">
      <c r="A189" t="s">
        <v>34</v>
      </c>
      <c r="B189" t="s">
        <v>586</v>
      </c>
      <c r="C189" t="s">
        <v>587</v>
      </c>
      <c r="D189" t="s">
        <v>588</v>
      </c>
      <c r="E189">
        <v>398</v>
      </c>
      <c r="F189">
        <v>379</v>
      </c>
      <c r="G189">
        <v>315</v>
      </c>
      <c r="H189">
        <v>83</v>
      </c>
    </row>
    <row r="190" spans="1:8">
      <c r="A190" t="s">
        <v>34</v>
      </c>
      <c r="B190" t="s">
        <v>589</v>
      </c>
      <c r="C190" t="s">
        <v>590</v>
      </c>
      <c r="D190" t="s">
        <v>591</v>
      </c>
      <c r="E190">
        <v>213</v>
      </c>
      <c r="F190">
        <v>212</v>
      </c>
      <c r="G190">
        <v>128</v>
      </c>
      <c r="H190">
        <v>85</v>
      </c>
    </row>
    <row r="191" spans="1:8">
      <c r="A191" t="s">
        <v>34</v>
      </c>
      <c r="B191" t="s">
        <v>592</v>
      </c>
      <c r="C191" t="s">
        <v>593</v>
      </c>
      <c r="D191" t="s">
        <v>594</v>
      </c>
      <c r="E191">
        <v>2730</v>
      </c>
      <c r="F191">
        <v>2104</v>
      </c>
      <c r="G191">
        <v>1885</v>
      </c>
      <c r="H191">
        <v>845</v>
      </c>
    </row>
    <row r="192" spans="1:8">
      <c r="A192" t="s">
        <v>34</v>
      </c>
      <c r="B192" t="s">
        <v>595</v>
      </c>
      <c r="C192" t="s">
        <v>596</v>
      </c>
      <c r="D192" t="s">
        <v>597</v>
      </c>
      <c r="E192">
        <v>600</v>
      </c>
      <c r="F192">
        <v>589</v>
      </c>
      <c r="G192">
        <v>481</v>
      </c>
      <c r="H192">
        <v>119</v>
      </c>
    </row>
    <row r="193" spans="1:8">
      <c r="A193" t="s">
        <v>34</v>
      </c>
      <c r="B193" t="s">
        <v>598</v>
      </c>
      <c r="C193" t="s">
        <v>599</v>
      </c>
      <c r="D193" t="s">
        <v>9</v>
      </c>
      <c r="E193">
        <v>11524</v>
      </c>
      <c r="F193">
        <v>11445</v>
      </c>
      <c r="G193">
        <v>4079</v>
      </c>
      <c r="H193">
        <v>7445</v>
      </c>
    </row>
    <row r="194" spans="1:8">
      <c r="A194" t="s">
        <v>34</v>
      </c>
      <c r="B194" t="s">
        <v>600</v>
      </c>
      <c r="C194" t="s">
        <v>601</v>
      </c>
      <c r="D194" t="s">
        <v>602</v>
      </c>
      <c r="E194">
        <v>661</v>
      </c>
      <c r="F194">
        <v>661</v>
      </c>
      <c r="G194">
        <v>361</v>
      </c>
      <c r="H194">
        <v>300</v>
      </c>
    </row>
    <row r="195" spans="1:8">
      <c r="A195" t="s">
        <v>34</v>
      </c>
      <c r="B195" t="s">
        <v>603</v>
      </c>
      <c r="C195" t="s">
        <v>604</v>
      </c>
      <c r="D195" t="s">
        <v>605</v>
      </c>
      <c r="E195">
        <v>826</v>
      </c>
      <c r="F195">
        <v>533</v>
      </c>
      <c r="G195">
        <v>392</v>
      </c>
      <c r="H195">
        <v>434</v>
      </c>
    </row>
    <row r="196" spans="1:8">
      <c r="A196" t="s">
        <v>34</v>
      </c>
      <c r="B196" t="s">
        <v>606</v>
      </c>
      <c r="C196" t="s">
        <v>607</v>
      </c>
      <c r="D196" t="s">
        <v>608</v>
      </c>
      <c r="E196">
        <v>60</v>
      </c>
      <c r="F196">
        <v>56</v>
      </c>
      <c r="G196">
        <v>2</v>
      </c>
      <c r="H196">
        <v>58</v>
      </c>
    </row>
    <row r="197" spans="1:8">
      <c r="A197" t="s">
        <v>34</v>
      </c>
      <c r="B197" t="s">
        <v>609</v>
      </c>
      <c r="C197" t="s">
        <v>610</v>
      </c>
      <c r="D197" t="s">
        <v>611</v>
      </c>
      <c r="E197">
        <v>90</v>
      </c>
      <c r="F197">
        <v>35</v>
      </c>
      <c r="G197">
        <v>34</v>
      </c>
      <c r="H197">
        <v>56</v>
      </c>
    </row>
    <row r="198" spans="1:8">
      <c r="A198" t="s">
        <v>34</v>
      </c>
      <c r="B198" t="s">
        <v>612</v>
      </c>
      <c r="C198" t="s">
        <v>613</v>
      </c>
      <c r="D198" t="s">
        <v>614</v>
      </c>
      <c r="E198">
        <v>671</v>
      </c>
      <c r="F198">
        <v>205</v>
      </c>
      <c r="G198">
        <v>196</v>
      </c>
      <c r="H198">
        <v>475</v>
      </c>
    </row>
    <row r="199" spans="1:8">
      <c r="A199" t="s">
        <v>34</v>
      </c>
      <c r="B199" t="s">
        <v>615</v>
      </c>
      <c r="C199" t="s">
        <v>616</v>
      </c>
      <c r="D199" t="s">
        <v>617</v>
      </c>
      <c r="E199">
        <v>1818</v>
      </c>
      <c r="F199">
        <v>1624</v>
      </c>
      <c r="G199">
        <v>1264</v>
      </c>
      <c r="H199">
        <v>554</v>
      </c>
    </row>
    <row r="200" spans="1:8">
      <c r="A200" t="s">
        <v>34</v>
      </c>
      <c r="B200" t="s">
        <v>618</v>
      </c>
      <c r="C200" t="s">
        <v>619</v>
      </c>
      <c r="D200" t="s">
        <v>620</v>
      </c>
      <c r="E200">
        <v>171</v>
      </c>
      <c r="F200">
        <v>161</v>
      </c>
      <c r="G200">
        <v>87</v>
      </c>
      <c r="H200">
        <v>84</v>
      </c>
    </row>
    <row r="201" spans="1:8">
      <c r="A201" t="s">
        <v>34</v>
      </c>
      <c r="B201" t="s">
        <v>621</v>
      </c>
      <c r="C201" t="s">
        <v>622</v>
      </c>
      <c r="D201" t="s">
        <v>623</v>
      </c>
      <c r="E201">
        <v>199</v>
      </c>
      <c r="F201">
        <v>177</v>
      </c>
      <c r="G201">
        <v>122</v>
      </c>
      <c r="H201">
        <v>77</v>
      </c>
    </row>
    <row r="202" spans="1:8">
      <c r="A202" t="s">
        <v>34</v>
      </c>
      <c r="B202" t="s">
        <v>624</v>
      </c>
      <c r="C202" t="s">
        <v>625</v>
      </c>
      <c r="D202" t="s">
        <v>626</v>
      </c>
      <c r="E202">
        <v>73</v>
      </c>
      <c r="F202">
        <v>73</v>
      </c>
      <c r="G202">
        <v>34</v>
      </c>
      <c r="H202">
        <v>39</v>
      </c>
    </row>
    <row r="203" spans="1:8">
      <c r="A203" t="s">
        <v>34</v>
      </c>
      <c r="B203" t="s">
        <v>627</v>
      </c>
      <c r="C203" t="s">
        <v>628</v>
      </c>
      <c r="D203" t="s">
        <v>629</v>
      </c>
      <c r="E203">
        <v>753</v>
      </c>
      <c r="F203">
        <v>269</v>
      </c>
      <c r="G203">
        <v>181</v>
      </c>
      <c r="H203">
        <v>572</v>
      </c>
    </row>
    <row r="204" spans="1:8">
      <c r="A204" t="s">
        <v>34</v>
      </c>
      <c r="B204" t="s">
        <v>630</v>
      </c>
      <c r="C204" t="s">
        <v>631</v>
      </c>
      <c r="D204" t="s">
        <v>632</v>
      </c>
      <c r="E204">
        <v>308</v>
      </c>
      <c r="F204">
        <v>308</v>
      </c>
      <c r="G204">
        <v>257</v>
      </c>
      <c r="H204">
        <v>51</v>
      </c>
    </row>
    <row r="205" spans="1:8">
      <c r="A205" t="s">
        <v>34</v>
      </c>
      <c r="B205" t="s">
        <v>633</v>
      </c>
      <c r="C205" t="s">
        <v>634</v>
      </c>
      <c r="D205" t="s">
        <v>635</v>
      </c>
      <c r="E205">
        <v>429</v>
      </c>
      <c r="F205">
        <v>191</v>
      </c>
      <c r="G205">
        <v>0</v>
      </c>
      <c r="H205">
        <v>429</v>
      </c>
    </row>
    <row r="206" spans="1:8">
      <c r="A206" t="s">
        <v>34</v>
      </c>
      <c r="B206" t="s">
        <v>636</v>
      </c>
      <c r="C206" t="s">
        <v>637</v>
      </c>
      <c r="D206" t="s">
        <v>638</v>
      </c>
      <c r="E206">
        <v>92</v>
      </c>
      <c r="F206">
        <v>92</v>
      </c>
      <c r="G206">
        <v>85</v>
      </c>
      <c r="H206">
        <v>7</v>
      </c>
    </row>
    <row r="207" spans="1:8">
      <c r="A207" t="s">
        <v>34</v>
      </c>
      <c r="B207" t="s">
        <v>639</v>
      </c>
      <c r="C207" t="s">
        <v>640</v>
      </c>
      <c r="D207" t="s">
        <v>641</v>
      </c>
      <c r="E207">
        <v>43</v>
      </c>
      <c r="F207">
        <v>43</v>
      </c>
      <c r="G207">
        <v>43</v>
      </c>
      <c r="H207">
        <v>0</v>
      </c>
    </row>
    <row r="208" spans="1:8">
      <c r="A208" t="s">
        <v>34</v>
      </c>
      <c r="B208" t="s">
        <v>642</v>
      </c>
      <c r="C208" t="s">
        <v>643</v>
      </c>
      <c r="D208" t="s">
        <v>644</v>
      </c>
      <c r="E208">
        <v>502</v>
      </c>
      <c r="F208">
        <v>379</v>
      </c>
      <c r="G208">
        <v>145</v>
      </c>
      <c r="H208">
        <v>357</v>
      </c>
    </row>
    <row r="209" spans="1:8">
      <c r="A209" t="s">
        <v>34</v>
      </c>
      <c r="B209" t="s">
        <v>645</v>
      </c>
      <c r="C209" t="s">
        <v>646</v>
      </c>
      <c r="D209" t="s">
        <v>8</v>
      </c>
      <c r="E209">
        <v>43040</v>
      </c>
      <c r="F209">
        <v>41503</v>
      </c>
      <c r="G209">
        <v>18568</v>
      </c>
      <c r="H209">
        <v>24472</v>
      </c>
    </row>
    <row r="210" spans="1:8">
      <c r="A210" t="s">
        <v>34</v>
      </c>
      <c r="B210" t="s">
        <v>647</v>
      </c>
      <c r="C210" t="s">
        <v>648</v>
      </c>
      <c r="D210" t="s">
        <v>649</v>
      </c>
      <c r="E210">
        <v>5081</v>
      </c>
      <c r="F210">
        <v>2675</v>
      </c>
      <c r="G210">
        <v>2064</v>
      </c>
      <c r="H210">
        <v>3017</v>
      </c>
    </row>
    <row r="211" spans="1:8">
      <c r="A211" t="s">
        <v>34</v>
      </c>
      <c r="B211" t="s">
        <v>650</v>
      </c>
      <c r="C211" t="s">
        <v>651</v>
      </c>
      <c r="D211" t="s">
        <v>10</v>
      </c>
      <c r="E211">
        <v>8617</v>
      </c>
      <c r="F211">
        <v>7603</v>
      </c>
      <c r="G211">
        <v>2279</v>
      </c>
      <c r="H211">
        <v>6338</v>
      </c>
    </row>
    <row r="212" spans="1:8">
      <c r="A212" t="s">
        <v>34</v>
      </c>
      <c r="B212" t="s">
        <v>652</v>
      </c>
      <c r="C212" t="s">
        <v>653</v>
      </c>
      <c r="D212" t="s">
        <v>654</v>
      </c>
      <c r="E212">
        <v>3966</v>
      </c>
      <c r="F212">
        <v>0</v>
      </c>
      <c r="G212">
        <v>0</v>
      </c>
      <c r="H212">
        <v>3966</v>
      </c>
    </row>
  </sheetData>
  <autoFilter ref="A1:XFD21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ReferenceId xmlns="8d02f424-1b0c-4112-afae-71f356aa4068" xsi:nil="true"/>
    <lcf76f155ced4ddcb4097134ff3c332f xmlns="8d02f424-1b0c-4112-afae-71f356aa406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092593434DBE43858FBA4CBAFAF3B4" ma:contentTypeVersion="11" ma:contentTypeDescription="Crie um novo documento." ma:contentTypeScope="" ma:versionID="43943cdf673164550dad5f61607bf24a">
  <xsd:schema xmlns:xsd="http://www.w3.org/2001/XMLSchema" xmlns:xs="http://www.w3.org/2001/XMLSchema" xmlns:p="http://schemas.microsoft.com/office/2006/metadata/properties" xmlns:ns2="8d02f424-1b0c-4112-afae-71f356aa4068" xmlns:ns3="bf55bb95-0e2d-49eb-8730-bda5c0a73d75" targetNamespace="http://schemas.microsoft.com/office/2006/metadata/properties" ma:root="true" ma:fieldsID="25be56cb1fc3822c0a2ec5b0b3ebfc92" ns2:_="" ns3:_="">
    <xsd:import namespace="8d02f424-1b0c-4112-afae-71f356aa406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2f424-1b0c-4112-afae-71f356aa406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248917-9d11-43d2-bb3a-3923e273d3c8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0DFD9-7897-4DC5-AA10-E3A9C51C4079}"/>
</file>

<file path=customXml/itemProps2.xml><?xml version="1.0" encoding="utf-8"?>
<ds:datastoreItem xmlns:ds="http://schemas.openxmlformats.org/officeDocument/2006/customXml" ds:itemID="{25D5807E-F64F-48F3-967E-3A4FC322D301}"/>
</file>

<file path=customXml/itemProps3.xml><?xml version="1.0" encoding="utf-8"?>
<ds:datastoreItem xmlns:ds="http://schemas.openxmlformats.org/officeDocument/2006/customXml" ds:itemID="{3371B043-017C-408D-8EED-A6717A8BC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Camargo</dc:creator>
  <cp:keywords/>
  <dc:description/>
  <cp:lastModifiedBy/>
  <cp:revision>0</cp:revision>
  <dcterms:created xsi:type="dcterms:W3CDTF">2026-09-07T13:28:38Z</dcterms:created>
  <dcterms:modified xsi:type="dcterms:W3CDTF">2026-10-08T23:51:43Z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0x010100FE092593434DBE43858FBA4CBAFAF3B4</vt:lpwstr>
  </property>
</Properties>
</file>